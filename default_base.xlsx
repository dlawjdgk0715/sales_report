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JH\Downloads\"/>
    </mc:Choice>
  </mc:AlternateContent>
  <xr:revisionPtr revIDLastSave="0" documentId="13_ncr:1_{4789135E-5A74-413C-AD84-0E4A3DBB926F}" xr6:coauthVersionLast="47" xr6:coauthVersionMax="47" xr10:uidLastSave="{00000000-0000-0000-0000-000000000000}"/>
  <bookViews>
    <workbookView xWindow="-28920" yWindow="11190" windowWidth="29040" windowHeight="15720" activeTab="6" xr2:uid="{00000000-000D-0000-FFFF-FFFF00000000}"/>
  </bookViews>
  <sheets>
    <sheet name="거래처별요약" sheetId="1" r:id="rId1"/>
    <sheet name="1월" sheetId="2" r:id="rId2"/>
    <sheet name="2월" sheetId="3" r:id="rId3"/>
    <sheet name="3월" sheetId="4" r:id="rId4"/>
    <sheet name="4월" sheetId="5" r:id="rId5"/>
    <sheet name="Raw_Data" sheetId="6" r:id="rId6"/>
    <sheet name="검색" sheetId="7" r:id="rId7"/>
    <sheet name="__Lists__" sheetId="8" r:id="rId8"/>
  </sheets>
  <definedNames>
    <definedName name="_xlnm._FilterDatabase" localSheetId="5" hidden="1">Raw_Data!$A$1:$AI$1</definedName>
    <definedName name="_xlnm._FilterDatabase" localSheetId="6" hidden="1">검색!$A$6:$J$22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7" l="1" a="1"/>
  <c r="A7" i="7" s="1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85" i="5" s="1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68" i="5" s="1"/>
  <c r="C30" i="5"/>
  <c r="C34" i="5" s="1"/>
  <c r="C29" i="5"/>
  <c r="C28" i="5"/>
  <c r="C27" i="5"/>
  <c r="C26" i="5"/>
  <c r="C25" i="5"/>
  <c r="C33" i="5" s="1"/>
  <c r="C24" i="5"/>
  <c r="C23" i="5"/>
  <c r="C22" i="5"/>
  <c r="C21" i="5"/>
  <c r="C20" i="5"/>
  <c r="C19" i="5"/>
  <c r="C18" i="5"/>
  <c r="C32" i="5" s="1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31" i="5" s="1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69" i="4" s="1"/>
  <c r="C50" i="4"/>
  <c r="C49" i="4"/>
  <c r="C48" i="4"/>
  <c r="C47" i="4"/>
  <c r="C46" i="4"/>
  <c r="C45" i="4"/>
  <c r="C44" i="4"/>
  <c r="C43" i="4"/>
  <c r="C42" i="4"/>
  <c r="C41" i="4"/>
  <c r="C40" i="4"/>
  <c r="C39" i="4"/>
  <c r="C34" i="4"/>
  <c r="C33" i="4"/>
  <c r="C32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31" i="4" s="1"/>
  <c r="C35" i="4" s="1"/>
  <c r="C88" i="4" s="1"/>
  <c r="C84" i="3"/>
  <c r="C83" i="3"/>
  <c r="C82" i="3"/>
  <c r="C85" i="3" s="1"/>
  <c r="C81" i="3"/>
  <c r="C80" i="3"/>
  <c r="C79" i="3"/>
  <c r="C78" i="3"/>
  <c r="C77" i="3"/>
  <c r="C76" i="3"/>
  <c r="C75" i="3"/>
  <c r="C74" i="3"/>
  <c r="C73" i="3"/>
  <c r="C72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68" i="3" s="1"/>
  <c r="C46" i="3"/>
  <c r="C45" i="3"/>
  <c r="C44" i="3"/>
  <c r="C43" i="3"/>
  <c r="C42" i="3"/>
  <c r="C41" i="3"/>
  <c r="C40" i="3"/>
  <c r="C39" i="3"/>
  <c r="C30" i="3"/>
  <c r="C34" i="3" s="1"/>
  <c r="C29" i="3"/>
  <c r="C28" i="3"/>
  <c r="C33" i="3" s="1"/>
  <c r="C27" i="3"/>
  <c r="C26" i="3"/>
  <c r="C25" i="3"/>
  <c r="C24" i="3"/>
  <c r="C23" i="3"/>
  <c r="C22" i="3"/>
  <c r="C21" i="3"/>
  <c r="C20" i="3"/>
  <c r="C19" i="3"/>
  <c r="C18" i="3"/>
  <c r="C32" i="3" s="1"/>
  <c r="C17" i="3"/>
  <c r="C16" i="3"/>
  <c r="C15" i="3"/>
  <c r="C14" i="3"/>
  <c r="C13" i="3"/>
  <c r="C12" i="3"/>
  <c r="C31" i="3" s="1"/>
  <c r="C35" i="3" s="1"/>
  <c r="C11" i="3"/>
  <c r="C10" i="3"/>
  <c r="C9" i="3"/>
  <c r="C8" i="3"/>
  <c r="C7" i="3"/>
  <c r="C6" i="3"/>
  <c r="C5" i="3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85" i="2" s="1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68" i="2" s="1"/>
  <c r="C30" i="2"/>
  <c r="C34" i="2" s="1"/>
  <c r="C29" i="2"/>
  <c r="C28" i="2"/>
  <c r="C27" i="2"/>
  <c r="C26" i="2"/>
  <c r="C25" i="2"/>
  <c r="C33" i="2" s="1"/>
  <c r="C24" i="2"/>
  <c r="C23" i="2"/>
  <c r="C22" i="2"/>
  <c r="C21" i="2"/>
  <c r="C20" i="2"/>
  <c r="C19" i="2"/>
  <c r="C18" i="2"/>
  <c r="C32" i="2" s="1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31" i="2" s="1"/>
  <c r="F14" i="1"/>
  <c r="E14" i="1"/>
  <c r="D14" i="1"/>
  <c r="C14" i="1"/>
  <c r="F13" i="1"/>
  <c r="E13" i="1"/>
  <c r="E15" i="1" s="1"/>
  <c r="D13" i="1"/>
  <c r="C13" i="1"/>
  <c r="C15" i="1" s="1"/>
  <c r="F12" i="1"/>
  <c r="F15" i="1" s="1"/>
  <c r="E12" i="1"/>
  <c r="D12" i="1"/>
  <c r="D15" i="1" s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C87" i="3" l="1"/>
  <c r="C35" i="2"/>
  <c r="C87" i="2" s="1"/>
  <c r="C35" i="5"/>
  <c r="C87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<sst xmlns="http://schemas.openxmlformats.org/spreadsheetml/2006/main" count="11666" uniqueCount="1086">
  <si>
    <t>2026년 컴투스 매출현황 (게임매출 주요 거래처)</t>
  </si>
  <si>
    <t>(단위: 백만원)</t>
  </si>
  <si>
    <t>분류</t>
  </si>
  <si>
    <t>거래처</t>
  </si>
  <si>
    <t>1월</t>
  </si>
  <si>
    <t>2월</t>
  </si>
  <si>
    <t>3월</t>
  </si>
  <si>
    <t>4월</t>
  </si>
  <si>
    <t>게임매출</t>
  </si>
  <si>
    <t>애플</t>
  </si>
  <si>
    <t>구글</t>
  </si>
  <si>
    <t>원스토어</t>
  </si>
  <si>
    <t>Valve</t>
  </si>
  <si>
    <t>Huawei</t>
  </si>
  <si>
    <t>NHN</t>
  </si>
  <si>
    <t>Beijing Raymobile</t>
  </si>
  <si>
    <t>기타</t>
  </si>
  <si>
    <t>합계</t>
  </si>
  <si>
    <t>기타수익</t>
  </si>
  <si>
    <t>용역수익</t>
  </si>
  <si>
    <t>총계</t>
  </si>
  <si>
    <t>2026년 1월 매출현황</t>
  </si>
  <si>
    <t>(단위: 원)</t>
  </si>
  <si>
    <t>■ 게임매출</t>
  </si>
  <si>
    <t>구분</t>
  </si>
  <si>
    <t>거래처명</t>
  </si>
  <si>
    <t>금액</t>
  </si>
  <si>
    <t>비고</t>
  </si>
  <si>
    <t>모바일</t>
  </si>
  <si>
    <t>Amazon</t>
  </si>
  <si>
    <t>Red River</t>
  </si>
  <si>
    <t>Xsolla</t>
  </si>
  <si>
    <t>밸로프</t>
  </si>
  <si>
    <t>비바리퍼블리카</t>
  </si>
  <si>
    <t>← 원스토어</t>
  </si>
  <si>
    <t>컴투스(수익이연)</t>
  </si>
  <si>
    <t>컴투스플랫폼</t>
  </si>
  <si>
    <t>컴투스홀딩스</t>
  </si>
  <si>
    <t>온라인</t>
  </si>
  <si>
    <t>Paypal</t>
  </si>
  <si>
    <t>SOFT-WORLD</t>
  </si>
  <si>
    <t>← 스타시드 관련 (대만/HK 카드 매출)</t>
  </si>
  <si>
    <t>Terminal3</t>
  </si>
  <si>
    <t>네이버파이낸셜</t>
  </si>
  <si>
    <t>토스페이먼츠</t>
  </si>
  <si>
    <t>광고</t>
  </si>
  <si>
    <t>Admob</t>
  </si>
  <si>
    <t>Facebook</t>
  </si>
  <si>
    <t>Line</t>
  </si>
  <si>
    <t>넵튠</t>
  </si>
  <si>
    <t>← 러쉬 Xsolla 정산</t>
  </si>
  <si>
    <t>원스토어(광고)</t>
  </si>
  <si>
    <t>← 애드엑스플러스 사명 변경 (23.11)</t>
  </si>
  <si>
    <t>OOTP</t>
  </si>
  <si>
    <t>← OOTP 관련(추정손익 파일상 기타매출로 분류)</t>
  </si>
  <si>
    <t>모바일 소계</t>
  </si>
  <si>
    <t>온라인 소계</t>
  </si>
  <si>
    <t>광고 소계</t>
  </si>
  <si>
    <t>OOTP 소계</t>
  </si>
  <si>
    <t>게임매출 합계</t>
  </si>
  <si>
    <t>■ 기타수익</t>
  </si>
  <si>
    <t>로열티수익</t>
  </si>
  <si>
    <t>Moye Technology</t>
  </si>
  <si>
    <t>OOTP(로열티)</t>
  </si>
  <si>
    <t>Skybound</t>
  </si>
  <si>
    <t>공게임즈</t>
  </si>
  <si>
    <t>네오위즈스포츠</t>
  </si>
  <si>
    <t>밸로프(로열티)</t>
  </si>
  <si>
    <t>에이스프로젝트</t>
  </si>
  <si>
    <t>위메이드</t>
  </si>
  <si>
    <t>케나즈</t>
  </si>
  <si>
    <t>해긴</t>
  </si>
  <si>
    <t>CJ올리브영</t>
  </si>
  <si>
    <t>MetaMagnet</t>
  </si>
  <si>
    <t>OASYS</t>
  </si>
  <si>
    <t>SBTM</t>
  </si>
  <si>
    <t>게임테일즈</t>
  </si>
  <si>
    <t>넷마블(기타)</t>
  </si>
  <si>
    <t>데이세븐(기타)</t>
  </si>
  <si>
    <t>← 전대차 임대료</t>
  </si>
  <si>
    <t>링티</t>
  </si>
  <si>
    <t>비즈마켓</t>
  </si>
  <si>
    <t>삼성화재</t>
  </si>
  <si>
    <t>에스비에스콘텐츠허브</t>
  </si>
  <si>
    <t>← 워너비챌린지 음원매출</t>
  </si>
  <si>
    <t>오내피플</t>
  </si>
  <si>
    <t>인케이코리아</t>
  </si>
  <si>
    <t>카탈리스터(기타)</t>
  </si>
  <si>
    <t>← 4사 공용비용 분담금</t>
  </si>
  <si>
    <t>컴투스로카(기타)</t>
  </si>
  <si>
    <t>컴투스플랫폼(기타)</t>
  </si>
  <si>
    <t>← 컴투스 상표 로열티, 4사 공용비용 분담금</t>
  </si>
  <si>
    <t>컴투스홀딩스(기타)</t>
  </si>
  <si>
    <t>← 그룹사 홍보비용 정산</t>
  </si>
  <si>
    <t>하이브로</t>
  </si>
  <si>
    <t>← 타이니팜/드래곤럼블 매출 정산</t>
  </si>
  <si>
    <t>한국문화진흥</t>
  </si>
  <si>
    <t>기타수익 합계</t>
  </si>
  <si>
    <t>■ 용역수익</t>
  </si>
  <si>
    <t>경영관리수익</t>
  </si>
  <si>
    <t>Com2uS Europe</t>
  </si>
  <si>
    <t>Com2uS Japan</t>
  </si>
  <si>
    <t>Com2uS Taiwan</t>
  </si>
  <si>
    <t>Com2uS USA</t>
  </si>
  <si>
    <t>← 블록체인 관련 업무위탁수익</t>
  </si>
  <si>
    <t>OOTP(용역)</t>
  </si>
  <si>
    <t>← OOTP 지원 용역매출</t>
  </si>
  <si>
    <t>데이세븐</t>
  </si>
  <si>
    <t>← 용역 및 전대차 임대료</t>
  </si>
  <si>
    <t>카탈리스터</t>
  </si>
  <si>
    <t>컴투스로카</t>
  </si>
  <si>
    <t>← 라이브게임 용역료, 업무위탁용역비</t>
  </si>
  <si>
    <t>티키타카스튜디오</t>
  </si>
  <si>
    <t>용역수익 합계</t>
  </si>
  <si>
    <t>총  합  계</t>
  </si>
  <si>
    <t>2026년 2월 매출현황</t>
  </si>
  <si>
    <t>← 서머너즈워 IP 활용 웹툰 정산금</t>
  </si>
  <si>
    <t>← 게임테일즈 운영시스템 양도/IP 사용료</t>
  </si>
  <si>
    <t>2026년 3월 매출현황</t>
  </si>
  <si>
    <t>← K-IFRS 수익이연</t>
  </si>
  <si>
    <t>← 제노니아/루니아전기 로열티</t>
  </si>
  <si>
    <t>← 바터광고</t>
  </si>
  <si>
    <t>과천펜타원 관리단</t>
  </si>
  <si>
    <t>과천펜타원 공실에 따른 주차수익, 계정대체</t>
  </si>
  <si>
    <t>2026년 4월 매출현황</t>
  </si>
  <si>
    <t>← 선수협 퍼블리시티권 정산</t>
  </si>
  <si>
    <t>← 프로야구GO! 선수협 정산</t>
  </si>
  <si>
    <t>No</t>
  </si>
  <si>
    <t>계정코드</t>
  </si>
  <si>
    <t>계정명</t>
  </si>
  <si>
    <t>회계일</t>
  </si>
  <si>
    <t>승인번호</t>
  </si>
  <si>
    <t>차변</t>
  </si>
  <si>
    <t>대변</t>
  </si>
  <si>
    <t>잔액</t>
  </si>
  <si>
    <t>적요</t>
  </si>
  <si>
    <t>거래처코드</t>
  </si>
  <si>
    <t>비용센터코드</t>
  </si>
  <si>
    <t>비용센터</t>
  </si>
  <si>
    <t>거래환종</t>
  </si>
  <si>
    <t>거래금액</t>
  </si>
  <si>
    <t>환율</t>
  </si>
  <si>
    <t>프로젝트</t>
  </si>
  <si>
    <t>프로젝트명</t>
  </si>
  <si>
    <t>증빙</t>
  </si>
  <si>
    <t>예산단위</t>
  </si>
  <si>
    <t>예산계정</t>
  </si>
  <si>
    <t>회계단위</t>
  </si>
  <si>
    <t>작성부서</t>
  </si>
  <si>
    <t>작성자</t>
  </si>
  <si>
    <t>전표번호</t>
  </si>
  <si>
    <t>순번</t>
  </si>
  <si>
    <t>메뉴</t>
  </si>
  <si>
    <t>전표유형코드</t>
  </si>
  <si>
    <t>전표유형명</t>
  </si>
  <si>
    <t>계정유형</t>
  </si>
  <si>
    <t>매출구분</t>
  </si>
  <si>
    <t>세부구분</t>
  </si>
  <si>
    <t>표시명</t>
  </si>
  <si>
    <t>월</t>
  </si>
  <si>
    <t>비고_매핑</t>
  </si>
  <si>
    <t>4100500</t>
  </si>
  <si>
    <t>2025년 4분기 그룹사 홍보비용 정산(홀딩스)</t>
  </si>
  <si>
    <t>C103422</t>
  </si>
  <si>
    <t>주식회사 컴투스홀딩스</t>
  </si>
  <si>
    <t>0100031561</t>
  </si>
  <si>
    <t>(주)컴투스&gt;경영전략부문&gt;전략홍보실&gt;커뮤니케이션1팀</t>
  </si>
  <si>
    <t>KRW</t>
  </si>
  <si>
    <t>Z0000</t>
  </si>
  <si>
    <t>공통</t>
  </si>
  <si>
    <t>세금계산서</t>
  </si>
  <si>
    <t>공통_수입결의서</t>
  </si>
  <si>
    <t>(주)컴투스</t>
  </si>
  <si>
    <t>(주)컴투스&gt;경영전략부문&gt;재무관리실&gt;회계팀</t>
  </si>
  <si>
    <t>임회원</t>
  </si>
  <si>
    <t>FI20260125000003</t>
  </si>
  <si>
    <t>결의서입력</t>
  </si>
  <si>
    <t>일반</t>
  </si>
  <si>
    <t>K-IFRS(일반)</t>
  </si>
  <si>
    <t>2025년 4분기 그룹사 홍보비용 정산(플랫폼)</t>
  </si>
  <si>
    <t>C103421</t>
  </si>
  <si>
    <t>주식회사 컴투스플랫폼</t>
  </si>
  <si>
    <t>01월/기타수익_매출/워너비챌린지 OST 음원매출</t>
  </si>
  <si>
    <t>C100488</t>
  </si>
  <si>
    <t>(주)에스비에스콘텐츠허브</t>
  </si>
  <si>
    <t>CS10003290</t>
  </si>
  <si>
    <t>(주)컴투스&gt;사업운영센터&gt;운영지원팀&gt;운영지원2</t>
  </si>
  <si>
    <t>C0007</t>
  </si>
  <si>
    <t>워너비</t>
  </si>
  <si>
    <t>유재원</t>
  </si>
  <si>
    <t>FI20260130000051</t>
  </si>
  <si>
    <t>26년 1월 카탈리스터 전대차 임대료</t>
  </si>
  <si>
    <t>C103506</t>
  </si>
  <si>
    <t>주식회사 카탈리스터</t>
  </si>
  <si>
    <t>000000</t>
  </si>
  <si>
    <t>회사전체</t>
  </si>
  <si>
    <t>FI20260131000348</t>
  </si>
  <si>
    <t>전표입력</t>
  </si>
  <si>
    <t>26년 1월 데이세븐 전대차 임대료</t>
  </si>
  <si>
    <t>C102899</t>
  </si>
  <si>
    <t>주식회사 데이세븐</t>
  </si>
  <si>
    <t>FI20260131000349</t>
  </si>
  <si>
    <t>1월분 4사 공용비용 분담 예상 금액_컴투스홀딩스</t>
  </si>
  <si>
    <t>CS10003521</t>
  </si>
  <si>
    <t>FI20260131000357</t>
  </si>
  <si>
    <t>결산대체</t>
  </si>
  <si>
    <t>1월분 4사 공용비용 분담 예상 금액_컴투스플랫폼</t>
  </si>
  <si>
    <t>1월분 4사 공용비용 분담 예상 금액_카탈리스터</t>
  </si>
  <si>
    <t>12월/매출_수익정산/하이브로 타이니팜＆드래곤럼블(2종게임) 매출 정산(2025년 12월)</t>
  </si>
  <si>
    <t>C104162</t>
  </si>
  <si>
    <t>주식회사 하이브로</t>
  </si>
  <si>
    <t>CS10003276</t>
  </si>
  <si>
    <t>(주)컴투스&gt;사업운영센터&gt;센트럴사업실</t>
  </si>
  <si>
    <t>A0007</t>
  </si>
  <si>
    <t>타이니팜</t>
  </si>
  <si>
    <t>FI20260131000427</t>
  </si>
  <si>
    <t>C0029</t>
  </si>
  <si>
    <t>전투기키우기</t>
  </si>
  <si>
    <t>2026년 1월 붕어빵 타이쿤 IP로열티 정산분</t>
  </si>
  <si>
    <t>CS10003409</t>
  </si>
  <si>
    <t>(주)컴투스&gt;게임사업담당&gt;NR사업본부&gt;글로벌사업실&gt;글로벌전략팀</t>
  </si>
  <si>
    <t>FI20260131000428</t>
  </si>
  <si>
    <t>[매출/정산] 26년 1월 컴투스 상표 로열티_홀딩스</t>
  </si>
  <si>
    <t>FI20260131000438</t>
  </si>
  <si>
    <t>[매출/정산] 26년 1월 컴투스 상표 로열티_플랫폼</t>
  </si>
  <si>
    <t>1월/복리후생비/26년 1월 임원 복리후생 이용 정산 건</t>
  </si>
  <si>
    <t>CS10003374</t>
  </si>
  <si>
    <t>(주)컴투스&gt;경영전략부문&gt;인사실&gt;인사운영팀</t>
  </si>
  <si>
    <t>김보훈</t>
  </si>
  <si>
    <t>FI20260131001166</t>
  </si>
  <si>
    <t>1월 선수협 퍼블리시티권 정산_공게임즈_이사만루 예정-확정 차이 (25.12 매출)</t>
  </si>
  <si>
    <t>C103591</t>
  </si>
  <si>
    <t>(주) 공게임즈</t>
  </si>
  <si>
    <t>FI20260227000008</t>
  </si>
  <si>
    <t>1월 선수협 퍼블리시티권 정산_넷마블_마구마구 예정-확정 차이 (25.12 매출)</t>
  </si>
  <si>
    <t>C102096</t>
  </si>
  <si>
    <t>넷마블 주식회사</t>
  </si>
  <si>
    <t>1월 선수협 퍼블리시티권 정산_에이스프로젝트_9UP프로야구 예정-확정 차이 (25.12 매출)</t>
  </si>
  <si>
    <t>C101857</t>
  </si>
  <si>
    <t>주식회사 에이스프로젝트</t>
  </si>
  <si>
    <t>2월/로열티 매출/ 25년 4Q KENAZ의 '서머너즈 워' IP 웹툰 6종 서비스 원작료 정산</t>
  </si>
  <si>
    <t>C103236</t>
  </si>
  <si>
    <t>주식회사 케나즈</t>
  </si>
  <si>
    <t>A0001</t>
  </si>
  <si>
    <t>서머너즈워</t>
  </si>
  <si>
    <t>(주)컴투스&gt;경영전략부문&gt;재무관리실&gt;내부회계관리팀</t>
  </si>
  <si>
    <t>FI20260201000027</t>
  </si>
  <si>
    <t>02월/기타수익_매출/워너비챌린지 OST 음원매출</t>
  </si>
  <si>
    <t>CS10003577</t>
  </si>
  <si>
    <t>(주)컴투스&gt;게임사업담당&gt;NR사업본부&gt;게임운영실&gt;게임운영지원TF</t>
  </si>
  <si>
    <t>FI20260227000054</t>
  </si>
  <si>
    <t>[기타매출] 2월 카탈리스터 전대차 임대료</t>
  </si>
  <si>
    <t>FI20260228000154</t>
  </si>
  <si>
    <t>[기타매출] 2월 데이세븐 전대차 임대료</t>
  </si>
  <si>
    <t>[매출/정산] 26년 2월 컴투스 상표 로열티_홀딩스</t>
  </si>
  <si>
    <t>FI20260228000215</t>
  </si>
  <si>
    <t>[매출/정산] 26년 2월 컴투스 상표 로열티_플랫폼</t>
  </si>
  <si>
    <t>2026년 2월 붕어빵 타이쿤 IP로열티 정산분</t>
  </si>
  <si>
    <t>FI20260228000226</t>
  </si>
  <si>
    <t>01월/매출_수익정산/하이브로 타이니팜 매출 정산(2026년 01월)</t>
  </si>
  <si>
    <t>FI20260228000227</t>
  </si>
  <si>
    <t>01월/매출_수익정산/하이브로 드래곤럼블 매출 정산(2026년 01월)</t>
  </si>
  <si>
    <t>[매출 / 가인식] 1월 그룹사 홍보비용 정산(홀딩스)</t>
  </si>
  <si>
    <t>FI20260228001061</t>
  </si>
  <si>
    <t>[매출 / 가인식] 2월 그룹사 홍보비용 정산(홀딩스)</t>
  </si>
  <si>
    <t>[매출 / 가인식] 1월 그룹사 홍보비용 정산(플랫폼)</t>
  </si>
  <si>
    <t>[매출 / 가인식] 2월 그룹사 홍보비용 정산(플랫폼)</t>
  </si>
  <si>
    <t>2월 / 수입결의서 / 운영시스템 양도 1차/20260226/23/FI20260226000025-1</t>
  </si>
  <si>
    <t>C103732</t>
  </si>
  <si>
    <t>(주)게임테일즈</t>
  </si>
  <si>
    <t>CS10003467</t>
  </si>
  <si>
    <t>(주)컴투스&gt;게임사업담당&gt;NR사업본부&gt;IG사업실&gt;LT사업부</t>
  </si>
  <si>
    <t>D0010</t>
  </si>
  <si>
    <t>더스타라이트</t>
  </si>
  <si>
    <t>FI20260228001185</t>
  </si>
  <si>
    <t>[기타매출 / 가인식] 2월 4사 공용비용 분담금_컴투스홀딩스</t>
  </si>
  <si>
    <t>FI20260309000001</t>
  </si>
  <si>
    <t>[기타매출 / 가인식] 2월 4사 공용비용 분담금_컴투스플랫폼</t>
  </si>
  <si>
    <t>[기타매출 / 가인식] 2월 4사 공용비용 분담금_카탈리스터</t>
  </si>
  <si>
    <t>2월 게임 테일즈 운영시스템 양도 1차 (20%) /원전표 FI20260228001185</t>
  </si>
  <si>
    <t>FI20260301000033</t>
  </si>
  <si>
    <t>[기타매출] 3월 카탈리스터 전대차 임대료</t>
  </si>
  <si>
    <t>(주)컴투스&gt;경영전략부문&gt;재무관리실&gt;회계세무팀</t>
  </si>
  <si>
    <t>FI20260331000230</t>
  </si>
  <si>
    <t>[기타매출] 3월 데이세븐 전대차 임대료</t>
  </si>
  <si>
    <t>[기타매출 / 확정] 3월 4사 공용비용 분담금_컴투스홀딩스</t>
  </si>
  <si>
    <t>FI20260331000231</t>
  </si>
  <si>
    <t>[기타매출 / 확정] 3월 4사 공용비용 분담금_컴투스플랫폼</t>
  </si>
  <si>
    <t>[기타매출 / 확정] 3월 4사 공용비용 분담금_카탈리스터</t>
  </si>
  <si>
    <t>[매출 / 가인식] 3월 그룹사 홍보비용 정산(홀딩스)</t>
  </si>
  <si>
    <t>FI20260331000236</t>
  </si>
  <si>
    <t>[매출 / 가인식] 3월 그룹사 홍보비용 정산(플랫폼)</t>
  </si>
  <si>
    <t>26년 3월 더 스타라이트 IP 기본 사용료 매출인식</t>
  </si>
  <si>
    <t>FI20260331000409</t>
  </si>
  <si>
    <t>03월/기타수익_매출/워너비챌린지 OST 음원매출</t>
  </si>
  <si>
    <t>FI20260331000410</t>
  </si>
  <si>
    <t>2026년 3월 붕어빵 타이쿤 IP로열티 정산분</t>
  </si>
  <si>
    <t>FI20260331000412</t>
  </si>
  <si>
    <t>3월/매출_로열티정산/밸로프 제노니아 로열티 정산(2026년 3월)</t>
  </si>
  <si>
    <t>C103189</t>
  </si>
  <si>
    <t>(주)밸로프(VALOFE Co., Ltd)</t>
  </si>
  <si>
    <t>A0019</t>
  </si>
  <si>
    <t>제노니아</t>
  </si>
  <si>
    <t>FI20260331000415</t>
  </si>
  <si>
    <t>02월/매출_수익정산/하이브로 타이니팜 매출 정산(2026년 02월)</t>
  </si>
  <si>
    <t>FI20260331000417</t>
  </si>
  <si>
    <t>02월/매출_수익정산/하이브로 드래곤럼블 매출 정산(2026년 02월)</t>
  </si>
  <si>
    <t>01월/매출_수익정산/워킹데드:올스타즈 매출 정산(2026년 1분기)</t>
  </si>
  <si>
    <t>E0007</t>
  </si>
  <si>
    <t>워킹데드:올스타즈</t>
  </si>
  <si>
    <t>FI20260331000418</t>
  </si>
  <si>
    <t>[매출/정산] 26년 3월 컴투스 상표 로열티_홀딩스</t>
  </si>
  <si>
    <t>FI20260331001384</t>
  </si>
  <si>
    <t>[매출/정산] 26년 3월 컴투스 상표 로열티_플랫폼</t>
  </si>
  <si>
    <t>과천펜타원 관리비 관련 계정대체</t>
  </si>
  <si>
    <t>C104173</t>
  </si>
  <si>
    <t>CS10003379</t>
  </si>
  <si>
    <t>(주)컴투스&gt;가치경영본부&gt;업무지원실&gt;공간문화팀</t>
  </si>
  <si>
    <t>김태현</t>
  </si>
  <si>
    <t>FI20260331001389</t>
  </si>
  <si>
    <t>과천펜타원 공실에 다른 주차수익</t>
  </si>
  <si>
    <t>수취제외대상</t>
  </si>
  <si>
    <t>FI20260331001390</t>
  </si>
  <si>
    <t>3월 선수협 퍼블리시티권 정산_공게임즈_이사만루</t>
  </si>
  <si>
    <t>FI20260331001413</t>
  </si>
  <si>
    <t>3월 선수협 퍼블리시티권 정산_네오위즈_슬리거(PC)</t>
  </si>
  <si>
    <t>C103592</t>
  </si>
  <si>
    <t>(주) 네오위즈스포츠</t>
  </si>
  <si>
    <t>3월 선수협 퍼블리시티권 정산_넷마블_마구마구 리마스터(PC)</t>
  </si>
  <si>
    <t>3월 선수협 퍼블리시티권 정산_넷마블_마구마구</t>
  </si>
  <si>
    <t>3월 선수협 퍼블리시티권 정산_에이스프로젝트_9UP프로야구</t>
  </si>
  <si>
    <t>3월 선수협 퍼블리시티권 정산_위메이드_판타스틱 베이스볼</t>
  </si>
  <si>
    <t>C101989</t>
  </si>
  <si>
    <t>주식회사 위메이드</t>
  </si>
  <si>
    <t>[매출/정산] 26년 3월 컴투스 상표 로열티_플랫폼_거래처수정</t>
  </si>
  <si>
    <t>FI20260401000075</t>
  </si>
  <si>
    <t>FI20260401000099</t>
  </si>
  <si>
    <t>역분개전표처리</t>
  </si>
  <si>
    <t>결산역분개</t>
  </si>
  <si>
    <t>[매출 / 가인식] 3월 그룹사 홍보비용 정산(홀딩스) / 역분개</t>
  </si>
  <si>
    <t>FI20260401000100</t>
  </si>
  <si>
    <t>[매출 / 가인식] 3월 그룹사 홍보비용 정산(플랫폼) / 역분개</t>
  </si>
  <si>
    <t>26년 3월 더 스타라이트 IP 추가 사용료 매출인식</t>
  </si>
  <si>
    <t>FI20260401000109</t>
  </si>
  <si>
    <t>2026년 1분기/ 매출_CDN 비용 정산 / 밸로프 아카마이 CDN 비용 정산 (2026년 1분기)</t>
  </si>
  <si>
    <t>FI20260401000111</t>
  </si>
  <si>
    <t>2026년도 1분기 그룹사 홍보비용 정산</t>
  </si>
  <si>
    <t>FI20260424000014</t>
  </si>
  <si>
    <t>[매출 / 가인식] 4월 그룹사 홍보비용 정산(홀딩스)</t>
  </si>
  <si>
    <t>FI20260430001150</t>
  </si>
  <si>
    <t>[매출 / 가인식] 4월 그룹사 홍보비용 정산(플랫폼)</t>
  </si>
  <si>
    <t>[기타매출 / 가인식] 4월 4사 공용비용 분담금_컴투스홀딩스</t>
  </si>
  <si>
    <t>FI20260430001154</t>
  </si>
  <si>
    <t>[기타매출 / 가인식] 4월 4사 공용비용 분담금_컴투스플랫폼</t>
  </si>
  <si>
    <t>[기타매출 / 가인식] 4월 4사 공용비용 분담금_카탈리스터</t>
  </si>
  <si>
    <t>[기타매출] 4월 카탈리스터 전대차 임대료</t>
  </si>
  <si>
    <t>FI20260430001182</t>
  </si>
  <si>
    <t>[기타매출] 4월 데이세븐 전대차 임대료</t>
  </si>
  <si>
    <t>04월/기타수익_매출/워너비챌린지 OST 음원매출</t>
  </si>
  <si>
    <t>FI20260430001250</t>
  </si>
  <si>
    <t>2026년 4월 붕어빵 타이쿤 IP로열티 정산분</t>
  </si>
  <si>
    <t>FI20260430001251</t>
  </si>
  <si>
    <t>4월/로열티 매출/26년 1Q KENAZ의 '서머너즈 워' IP 웹툰 6종 서비스 원작료 정산</t>
  </si>
  <si>
    <t>FI20260430001252</t>
  </si>
  <si>
    <t>4월/매출_로열티정산/밸로프 제노니아 로열티 정산(2026년 4월)</t>
  </si>
  <si>
    <t>CS10003275</t>
  </si>
  <si>
    <t>(주)컴투스&gt;사업운영센터&gt;운영지원팀</t>
  </si>
  <si>
    <t>FI20260430001256</t>
  </si>
  <si>
    <t>26년 4월 더 스타라이트 IP 기본 사용료 매출인식</t>
  </si>
  <si>
    <t>FI20260430001257</t>
  </si>
  <si>
    <t>04월/매출_수익정산/하이브로 타이니팜 매출 정산(2026년 03월)수익정산</t>
  </si>
  <si>
    <t>FI20260430001258</t>
  </si>
  <si>
    <t>04월/매출_수익정산/하이브로 드래곤럼블 매출 정산(2026년 03월)</t>
  </si>
  <si>
    <t>[매출/정산] 26년 4월 컴투스 상표 로열티_홀딩스</t>
  </si>
  <si>
    <t>FI20260430001335</t>
  </si>
  <si>
    <t>[매출/정산] 26년 4월 컴투스 상표 로열티_플랫폼</t>
  </si>
  <si>
    <t>4월 선수협 퍼블리시티권 정산_공게임즈_이사만루</t>
  </si>
  <si>
    <t>FI20260430001341</t>
  </si>
  <si>
    <t>4월 선수협 퍼블리시티권 정산_네오위즈 스포츠_슬러거</t>
  </si>
  <si>
    <t>4월 선수협 퍼블리시티권 정산_넷마블_마구마구 리마스터</t>
  </si>
  <si>
    <t>4월 선수협 퍼블리시티권 정산_넷마블_마구마구</t>
  </si>
  <si>
    <t>4월 선수협 퍼블리시티권 정산_에이스프로젝트_9UP프로야구</t>
  </si>
  <si>
    <t>4월 선수협 퍼블리시티권 정산_위메이드_판타스틱 베이스볼</t>
  </si>
  <si>
    <t>4월 선수협 퍼블리시티권 정산_해긴_프로야구GO!</t>
  </si>
  <si>
    <t>C104308</t>
  </si>
  <si>
    <t>주식회사 해긴</t>
  </si>
  <si>
    <t>4월 선수협 퍼블리시티권 정산_OOTP_OOTP26</t>
  </si>
  <si>
    <t>C800373</t>
  </si>
  <si>
    <t>Out of the park Developments GmbH &amp; Co.KG(OOTP)</t>
  </si>
  <si>
    <t>4100300</t>
  </si>
  <si>
    <t>10월 컴투스-컴투스홀딩스 업무위탁계약 용역비</t>
  </si>
  <si>
    <t>FI20260101000029</t>
  </si>
  <si>
    <t>11월 컴투스-컴투스홀딩스 업무위탁계약 용역비 예상인식</t>
  </si>
  <si>
    <t>FI20260101000031</t>
  </si>
  <si>
    <t>12월 컴투스-컴투스홀딩스 업무위탁계약 용역비 예상인식</t>
  </si>
  <si>
    <t>FI20260101000033</t>
  </si>
  <si>
    <t>[매출/용역] OOTP 지원 용역매출 25년 10월 예상인식</t>
  </si>
  <si>
    <t>USD</t>
  </si>
  <si>
    <t>C0017</t>
  </si>
  <si>
    <t>FI20260101000035</t>
  </si>
  <si>
    <t>[매출/용역] OOTP 지원 용역매출 25년 11월 예상인식</t>
  </si>
  <si>
    <t>[매출/용역] OOTP 지원 용역매출 25년 12월 예상인식</t>
  </si>
  <si>
    <t>FI20260101000037</t>
  </si>
  <si>
    <t>25년 4분기/매출_용역/컴투스홀딩스 용역 매출 (2025년 4분기)</t>
  </si>
  <si>
    <t>FI20260125000006</t>
  </si>
  <si>
    <t>25년 4분기/매출_용역/컴투스플랫폼 용역 매출 (2025년 4분기)</t>
  </si>
  <si>
    <t>FI20260125000007</t>
  </si>
  <si>
    <t>2025년 4분기/매출_용역정산/OOTP 지원 용역 매출 - 2025.4분기</t>
  </si>
  <si>
    <t>FI20260125000008</t>
  </si>
  <si>
    <t>4분기/매출_용역정산/MLB PI 용역 매출(2025년 4분기)</t>
  </si>
  <si>
    <t>C800445</t>
  </si>
  <si>
    <t>Com2uS USA Inc</t>
  </si>
  <si>
    <t>E0010</t>
  </si>
  <si>
    <t>MLB PI</t>
  </si>
  <si>
    <t>FI20260125000009</t>
  </si>
  <si>
    <t>2026년 1월 카탈리스터</t>
  </si>
  <si>
    <t>FI20260131000370</t>
  </si>
  <si>
    <t>1월 / 용역수익 / 데이세븐 회계 용역 제공 용역수익</t>
  </si>
  <si>
    <t>FI20260131000371</t>
  </si>
  <si>
    <t>1월/ 용역수익 / 데이세븐 사업 및 개발부문 용역수익</t>
  </si>
  <si>
    <t>FI20260131000372</t>
  </si>
  <si>
    <t>1월 컴투스홀딩스 업무위탁 용역 매출 예상인식</t>
  </si>
  <si>
    <t>FI20260131000399</t>
  </si>
  <si>
    <t>1월/매출_용역/컴투스플랫폼 용역 매출 예상인식</t>
  </si>
  <si>
    <t>FI20260131000400</t>
  </si>
  <si>
    <t>[매출/용역] OOTP 지원 용역매출 26년 1월 예상인식</t>
  </si>
  <si>
    <t>FI20260131000401</t>
  </si>
  <si>
    <t>1월 그룹사 인사업무 용역료</t>
  </si>
  <si>
    <t>FI20260131000863</t>
  </si>
  <si>
    <t>1월 컴투스홀딩스 라이브게임 용역료</t>
  </si>
  <si>
    <t>FI20260131000864</t>
  </si>
  <si>
    <t>1월 XPLA 컨텐츠공급계약 1,843,666.67개 @14.5651</t>
  </si>
  <si>
    <t>A800104</t>
  </si>
  <si>
    <t>MetaMagnet Limited</t>
  </si>
  <si>
    <t>유선정</t>
  </si>
  <si>
    <t>FI20260131001176</t>
  </si>
  <si>
    <t>1월 XPLA Validator Delegation Reward 수익인식</t>
  </si>
  <si>
    <t>1월 XPLA Validator Delegation Commission 수익인식</t>
  </si>
  <si>
    <t>1월 XPLA CONVERT 수수료 수량 754.93개 @27.83</t>
  </si>
  <si>
    <t>1월 CTXT CONVERT 수수료 수량 552.67개 @20.34</t>
  </si>
  <si>
    <t>FI20260131001177</t>
  </si>
  <si>
    <t>1월 game token deploy 수익 인식 - 낚시의신: 크루(CTXT)</t>
  </si>
  <si>
    <t>1월 OAS Game Grant 수익 인식 669,929.40개 @72.4708</t>
  </si>
  <si>
    <t>C800592</t>
  </si>
  <si>
    <t>OASYS PTE. LTD.</t>
  </si>
  <si>
    <t>FI20260131001178</t>
  </si>
  <si>
    <t>4Q/매출_용역/컴투스플랫폼 용역 매출 취소</t>
  </si>
  <si>
    <t>FI20260201000022</t>
  </si>
  <si>
    <t>2026년 2월 카탈리스터 인사 용역 수익</t>
  </si>
  <si>
    <t>FI20260228000204</t>
  </si>
  <si>
    <t>[용역매출] 2월 데이세븐 회계 등 용역수익</t>
  </si>
  <si>
    <t>FI20260228000205</t>
  </si>
  <si>
    <t>[매출 / 가인식] 2월 컴투스홀딩스 업무위탁용역</t>
  </si>
  <si>
    <t>FI20260228001059</t>
  </si>
  <si>
    <t>[매출 / 가인식] 2월 컴투스플랫폼 용역위탁</t>
  </si>
  <si>
    <t>FI20260228001063</t>
  </si>
  <si>
    <t>[매출 / 가인식] 2월 OOTP 지원 용역매출</t>
  </si>
  <si>
    <t>FI20260228001064</t>
  </si>
  <si>
    <t>[매출 / 가인식] 1월 MLB PI 용역 매출</t>
  </si>
  <si>
    <t>FI20260228001065</t>
  </si>
  <si>
    <t>[매출 / 가인식] 2월 MLB PI 용역 매출</t>
  </si>
  <si>
    <t>[매출 / 가인식] 1월 미국법인 가상자산 용역위탁료</t>
  </si>
  <si>
    <t>FI20260228001066</t>
  </si>
  <si>
    <t>[매출 / 가인식] 2월 미국법인 가상자산 용역위탁료</t>
  </si>
  <si>
    <t>2월 그룹사 인사업무 용역료</t>
  </si>
  <si>
    <t>FI20260228001121</t>
  </si>
  <si>
    <t>2월 컴투스홀딩스 라이브게임 용역료</t>
  </si>
  <si>
    <t>FI20260228001122</t>
  </si>
  <si>
    <t>2월 XPLA 컨텐츠공급계약 1,843,666.67개 @14.4932</t>
  </si>
  <si>
    <t>FI20260228001129</t>
  </si>
  <si>
    <t>2월 XPLA Validator Delegation Reward 수익인식</t>
  </si>
  <si>
    <t>2월 XPLA Validator Delegation Commission 수익인식</t>
  </si>
  <si>
    <t>2월 XPLA CONVERT 수수료 수량 836.34개 @20.55</t>
  </si>
  <si>
    <t>2월 CTXT CONVERT 수수료 수량 552.67개 @21.01</t>
  </si>
  <si>
    <t>FI20260228001130</t>
  </si>
  <si>
    <t>2월 game token deploy 수익 인식 - 낚시의신: 크루(CTXT)</t>
  </si>
  <si>
    <t>2월 OAS Game Grant 수익 인식 669,929.40개 @74.6009</t>
  </si>
  <si>
    <t>FI20260228001131</t>
  </si>
  <si>
    <t>2026년 3월 카탈리스터 인사 용역 수익</t>
  </si>
  <si>
    <t>FI20260331000229</t>
  </si>
  <si>
    <t>[용역매출] 3월 데이세븐 회계 등 용역수익</t>
  </si>
  <si>
    <t>0100030596</t>
  </si>
  <si>
    <t>FI20260331000232</t>
  </si>
  <si>
    <t>3월 / 용역수익 / 카탈리스터 회계 등 용역 제공</t>
  </si>
  <si>
    <t>FI20260331000233</t>
  </si>
  <si>
    <t>[매출 / 가인식] 3월 컴투스홀딩스 업무위탁용역</t>
  </si>
  <si>
    <t>FI20260331000234</t>
  </si>
  <si>
    <t>[매출 / 가인식] 3월 컴투스플랫폼 용역위탁</t>
  </si>
  <si>
    <t>FI20260331000238</t>
  </si>
  <si>
    <t>[매출 / 가인식] 3월 OOTP 지원 용역매출</t>
  </si>
  <si>
    <t>FI20260331000239</t>
  </si>
  <si>
    <t>[매출 / 가인식] 3월 MLB PI 용역 매출</t>
  </si>
  <si>
    <t>FI20260331000240</t>
  </si>
  <si>
    <t>[매출 / 가인식] 3월 미국법인 가상자산 용역위탁료</t>
  </si>
  <si>
    <t>FI20260331000241</t>
  </si>
  <si>
    <t>3월 XPLA 컨텐츠공급계약 1,843,666.67개 @14.8664</t>
  </si>
  <si>
    <t>FI20260331001348</t>
  </si>
  <si>
    <t>3월 XPLA Validator Delegation Reward 수익인식</t>
  </si>
  <si>
    <t>3월 XPLA Validator Delegation Commission 수익인식</t>
  </si>
  <si>
    <t>3월 XPLA CONVERT 수수료 수량 403.64개 @20.20</t>
  </si>
  <si>
    <t>3월 CTXT CONVERT 수수료 수량 80.71개 @14.65</t>
  </si>
  <si>
    <t>FI20260331001349</t>
  </si>
  <si>
    <t>3월 game token deploy 수익 인식 - 낚시의신: 크루(CTXT)</t>
  </si>
  <si>
    <t>3월 OAS Game Grant 수익 인식 669,929.40개 @73.9700</t>
  </si>
  <si>
    <t>FI20260331001350</t>
  </si>
  <si>
    <t>[매출] 3월 그룹사 인사업무 용역료</t>
  </si>
  <si>
    <t>FI20260331001379</t>
  </si>
  <si>
    <t>[매출] 3월 컴투스홀딩스 라이브게임 용역료</t>
  </si>
  <si>
    <t>FI20260331001380</t>
  </si>
  <si>
    <t>FI20260401000094</t>
  </si>
  <si>
    <t>FI20260401000096</t>
  </si>
  <si>
    <t>[매출 / 가인식] 3월 컴투스홀딩스 업무위탁용역 / 역분개</t>
  </si>
  <si>
    <t>FI20260401000097</t>
  </si>
  <si>
    <t>[매출] 컴투스로카 FY2025 세무조정 용역료</t>
  </si>
  <si>
    <t>C103368</t>
  </si>
  <si>
    <t>주식회사 컴투스로카</t>
  </si>
  <si>
    <t>FI20260401000101</t>
  </si>
  <si>
    <t>FI20260401000103</t>
  </si>
  <si>
    <t>FI20260401000107</t>
  </si>
  <si>
    <t>[매출 / 가인식] 3월 컴투스플랫폼 용역위탁 / 역분개</t>
  </si>
  <si>
    <t>FI20260401000108</t>
  </si>
  <si>
    <t>FI20260401000119</t>
  </si>
  <si>
    <t>FI20260401000121</t>
  </si>
  <si>
    <t>[매출 / 가인식] 3월 OOTP 지원 용역매출 / 역분개</t>
  </si>
  <si>
    <t>FI20260401000122</t>
  </si>
  <si>
    <t>FI20260401000127</t>
  </si>
  <si>
    <t>[매출 / 가인식] 3월 MLB PI 용역 매출 / 역분개</t>
  </si>
  <si>
    <t>FI20260401000128</t>
  </si>
  <si>
    <t>FI20260401000130</t>
  </si>
  <si>
    <t>[매출 / 가인식] 3월 미국법인 가상자산 용역위탁료 / 역분개</t>
  </si>
  <si>
    <t>FI20260401000131</t>
  </si>
  <si>
    <t>26년 1분기/매출_용역/컴투스홀딩스 용역 매출 (2026년 1분기)</t>
  </si>
  <si>
    <t>FI20260425000015</t>
  </si>
  <si>
    <t>26년 1분기/매출_용역/컴투스플랫폼 용역 매출 (2026년 1분기)</t>
  </si>
  <si>
    <t>FI20260425000016</t>
  </si>
  <si>
    <t>2026년 1분기/매출_용역정산/OOTP 지원 용역 매출 - 2026.1분기</t>
  </si>
  <si>
    <t>FI20260425000017</t>
  </si>
  <si>
    <t>1분기/매출_용역정산/MLB PI 용역 매출(2026년 1분기)</t>
  </si>
  <si>
    <t>FI20260425000018</t>
  </si>
  <si>
    <t>[매출] 2026년 1분기 미국법인 가상자산 용역위탁료</t>
  </si>
  <si>
    <t>FI20260425000020</t>
  </si>
  <si>
    <t>[용역매출] 4월 데이세븐 회계 등 용역수익</t>
  </si>
  <si>
    <t>FI20260430001037</t>
  </si>
  <si>
    <t>2026년 4월 카탈리스터 인사 용역 수익</t>
  </si>
  <si>
    <t>FI20260430001138</t>
  </si>
  <si>
    <t>[매출 / 가인식] 4월 컴투스홀딩스 업무위탁용역</t>
  </si>
  <si>
    <t>FI20260430001148</t>
  </si>
  <si>
    <t>[매출] 4월 그룹사 인사업무 용역료</t>
  </si>
  <si>
    <t>FI20260430001151</t>
  </si>
  <si>
    <t>[매출] 4월 컴투스홀딩스 인사업무 분담금</t>
  </si>
  <si>
    <t>[매출] 4월 컴투스홀딩스 라이브게임 용역료</t>
  </si>
  <si>
    <t>FI20260430001152</t>
  </si>
  <si>
    <t>[매출 / 가인식] 4월 컴투스플랫폼 용역위탁</t>
  </si>
  <si>
    <t>FI20260430001157</t>
  </si>
  <si>
    <t>[매출 / 가인식] 4월 OOTP 지원 용역매출</t>
  </si>
  <si>
    <t>FI20260430001158</t>
  </si>
  <si>
    <t>[매출 / 가인식] 4월 MLB PI 용역 매출</t>
  </si>
  <si>
    <t>FI20260430001159</t>
  </si>
  <si>
    <t>4월 컨텐츠공급계약 1,843,666.67개 @14.8739</t>
  </si>
  <si>
    <t>FI20260430001183</t>
  </si>
  <si>
    <t>4월 Validator Delegation Reward 수익인식</t>
  </si>
  <si>
    <t>4월 Validator Delegation Commission 수익인식</t>
  </si>
  <si>
    <t>4월 CTXT CONVERT 수수료 수량 183.08개 @13.33</t>
  </si>
  <si>
    <t>FI20260430001184</t>
  </si>
  <si>
    <t>4월 game token deploy 수익 인식 - 낚시의신: 크루(CTXT)</t>
  </si>
  <si>
    <t>4월 OAS Game Grant 수익 인식 669,929.40개 @74.0073</t>
  </si>
  <si>
    <t>FI20260430001185</t>
  </si>
  <si>
    <t>[매출 / 가인식] 4월 미국법인 가상자산 용역위탁료</t>
  </si>
  <si>
    <t>FI20260430001320</t>
  </si>
  <si>
    <t>4100100</t>
  </si>
  <si>
    <t>컨텐츠제공수익</t>
  </si>
  <si>
    <t>[매출/예상] 12월 28~31일 캘린더 차이분 애플 KR / 역분개</t>
  </si>
  <si>
    <t>A800073</t>
  </si>
  <si>
    <t>Apple Inc.</t>
  </si>
  <si>
    <t>FI20260101000011</t>
  </si>
  <si>
    <t>대량전표입력</t>
  </si>
  <si>
    <t>[매출/예상] 12월 28~31일 캘린더 차이분 애플 JP / 역분개</t>
  </si>
  <si>
    <t>[매출/예상] 12월 28~31일 캘린더 차이분 애플 WW / 역분개</t>
  </si>
  <si>
    <t>[매출] 26년 1월 Beijing YJL 매출</t>
  </si>
  <si>
    <t>A800080</t>
  </si>
  <si>
    <t>Beijing You Jie Le Communication Technology Co.,Lt</t>
  </si>
  <si>
    <t>FI20260131000276</t>
  </si>
  <si>
    <t>1월/매출_로열티정산/밸로프 루니아전기 로열티 정산(2026년 1월)</t>
  </si>
  <si>
    <t>A0034</t>
  </si>
  <si>
    <t>루니아Z</t>
  </si>
  <si>
    <t>FI20260131000346</t>
  </si>
  <si>
    <t>[매출/온라인] 26년 1월 KCP_컴프야</t>
  </si>
  <si>
    <t>C103550</t>
  </si>
  <si>
    <t>엔에이치엔한국사이버결제 주식회사</t>
  </si>
  <si>
    <t>김소율</t>
  </si>
  <si>
    <t>FI20260131000382</t>
  </si>
  <si>
    <t>[매출/온라인] 26년 1월 KCP_컴프야V (웹)</t>
  </si>
  <si>
    <t>[매출/온라인] 26년 1월 KCP_컴프야V</t>
  </si>
  <si>
    <t>[매출/온라인] 26년 1월 KCP_크로니클</t>
  </si>
  <si>
    <t>[매출/온라인] 26년 1월 KCP_컴프매</t>
  </si>
  <si>
    <t>[매출/온라인] 26년 1월 KCP_러쉬</t>
  </si>
  <si>
    <t>[매출/온라인] 26년 1월 KCP_낚시의신</t>
  </si>
  <si>
    <t>[매출/온라인] 26년 1월 KCP_제노니아</t>
  </si>
  <si>
    <t>[매출/온라인] 26년 1월 KCP_스타라이트</t>
  </si>
  <si>
    <t>[매출/온라인] 26년 1월 KCP_스타라이트(웹)</t>
  </si>
  <si>
    <t>[매출/온라인] 26년 1월 KCP_아이모</t>
  </si>
  <si>
    <t>[매출/온라인] 26.1월 비바리퍼블리카 매출</t>
  </si>
  <si>
    <t>C103644</t>
  </si>
  <si>
    <t>(주)비바리퍼블리카</t>
  </si>
  <si>
    <t>FI20260131000384</t>
  </si>
  <si>
    <t>[매출/온라인] 25년1월 토스페이먼츠 매출</t>
  </si>
  <si>
    <t>C103620</t>
  </si>
  <si>
    <t>토스페이먼츠 주식회사</t>
  </si>
  <si>
    <t>FI20260131000386</t>
  </si>
  <si>
    <t>[매출/온라인] 26년 1월 네이버파이낸셜_컴프매</t>
  </si>
  <si>
    <t>C103623</t>
  </si>
  <si>
    <t>네이버파이낸셜 주식회사</t>
  </si>
  <si>
    <t>D0001</t>
  </si>
  <si>
    <t>컴프매</t>
  </si>
  <si>
    <t>FI20260131000387</t>
  </si>
  <si>
    <t>[매출/온라인] 26년 1월 네이버파이낸셜_컴프야</t>
  </si>
  <si>
    <t>A0004</t>
  </si>
  <si>
    <t>컴프야</t>
  </si>
  <si>
    <t>[매출/온라인] 26년 1월 네이버파이낸셜_컴프야V</t>
  </si>
  <si>
    <t>A0032</t>
  </si>
  <si>
    <t>컴프야V</t>
  </si>
  <si>
    <t>[매출/온라인] 26년 1월 네이버파이낸셜_크로니클</t>
  </si>
  <si>
    <t>A0013</t>
  </si>
  <si>
    <t>크로니클</t>
  </si>
  <si>
    <t>[매출/온라인] 1월 페이팔 WW</t>
  </si>
  <si>
    <t>C800500</t>
  </si>
  <si>
    <t>Paypal PTE.LTD</t>
  </si>
  <si>
    <t>FI20260131000388</t>
  </si>
  <si>
    <t>[매출/온라인] 1월 페이팔 JP</t>
  </si>
  <si>
    <t>[매출/온라인] 2026.01 마이카드 (HK)</t>
  </si>
  <si>
    <t>C800086</t>
  </si>
  <si>
    <t>SOFT-WORLD INT'L CORP.</t>
  </si>
  <si>
    <t>FI20260131000389</t>
  </si>
  <si>
    <t>[매출/온라인] 2026.01 마이카드 (TW)</t>
  </si>
  <si>
    <t>TWD</t>
  </si>
  <si>
    <t>FI20260131000391</t>
  </si>
  <si>
    <t>[매출] 서머너즈 워 : 러쉬 Xsolla 1월 매출 처리</t>
  </si>
  <si>
    <t>C800646</t>
  </si>
  <si>
    <t>Xsolla (USA), Inc.</t>
  </si>
  <si>
    <t>A0037</t>
  </si>
  <si>
    <t>러쉬</t>
  </si>
  <si>
    <t>FI20260131000393</t>
  </si>
  <si>
    <t>[매출/광고] 2026.01 GOOGLE ADMOB</t>
  </si>
  <si>
    <t>A800101</t>
  </si>
  <si>
    <t>FI20260131000394</t>
  </si>
  <si>
    <t>[매출/광고] 26년 1월 넵튠 광고매출</t>
  </si>
  <si>
    <t>C103871</t>
  </si>
  <si>
    <t>주식회사 넵튠</t>
  </si>
  <si>
    <t>FI20260131000395</t>
  </si>
  <si>
    <t>컴투스홀딩스 크리티카 모바일 정산(2026년 1월)</t>
  </si>
  <si>
    <t>A0033</t>
  </si>
  <si>
    <t>크리티카:천상의기사단</t>
  </si>
  <si>
    <t>FI20260131000425</t>
  </si>
  <si>
    <t>01월 / 로열티수익 / 26년 01월  OOTP 구장 로열티 KBO</t>
  </si>
  <si>
    <t>FI20260131000436</t>
  </si>
  <si>
    <t>01월 / 로열티수익 / 26년 01월  OOTP 구장 로열티 MLB</t>
  </si>
  <si>
    <t>[매출] 26년 1월 Redriver 서머너즈워 베트남 정산 USD 42,090.18</t>
  </si>
  <si>
    <t>C103552</t>
  </si>
  <si>
    <t>Red River Digital Technology Development Joint Sto</t>
  </si>
  <si>
    <t>FI20260131001106</t>
  </si>
  <si>
    <t>[매출/광고] 2026.01 FACEBOOK 매출</t>
  </si>
  <si>
    <t>C800217</t>
  </si>
  <si>
    <t>Facebook, Inc.</t>
  </si>
  <si>
    <t>FI20260131001129</t>
  </si>
  <si>
    <t>[매출/광고] 2026.01 LINE 매출_일본 원천세 10%</t>
  </si>
  <si>
    <t>A800088</t>
  </si>
  <si>
    <t>Line Corporation</t>
  </si>
  <si>
    <t>JPY</t>
  </si>
  <si>
    <t>FI20260131001131</t>
  </si>
  <si>
    <t>올엠 합병 자산부채 인식_루니아전기 계약금/기간손익 결산분개</t>
  </si>
  <si>
    <t>9999999991</t>
  </si>
  <si>
    <t>(주)올엠</t>
  </si>
  <si>
    <t>FI20260131001136</t>
  </si>
  <si>
    <t>결산전표처리</t>
  </si>
  <si>
    <t>[매출/예상] 01월 구글 KR</t>
  </si>
  <si>
    <t>A800071</t>
  </si>
  <si>
    <t>GOOGLE, INC.</t>
  </si>
  <si>
    <t>FI20260131001138</t>
  </si>
  <si>
    <t>[매출/예상] 01월 구글 JP</t>
  </si>
  <si>
    <t>[매출/예상] 01월 구글 WW</t>
  </si>
  <si>
    <t>[매출/예상] 01월 애플 KR</t>
  </si>
  <si>
    <t>FI20260131001139</t>
  </si>
  <si>
    <t>[매출/예상] 01월 애플 JP</t>
  </si>
  <si>
    <t>[매출/예상] 01월 애플 WW</t>
  </si>
  <si>
    <t>[매출/확정] 1월 스팀 매출</t>
  </si>
  <si>
    <t>C800501</t>
  </si>
  <si>
    <t>Valve Corporation</t>
  </si>
  <si>
    <t>FI20260131001140</t>
  </si>
  <si>
    <t>[매출/예상] 1월 화웨이</t>
  </si>
  <si>
    <t>C103195</t>
  </si>
  <si>
    <t>Huawei Services (hong Kong) Co., Limited</t>
  </si>
  <si>
    <t>FI20260131001141</t>
  </si>
  <si>
    <t>[매출] 1월 원스토어 KT</t>
  </si>
  <si>
    <t>A900009</t>
  </si>
  <si>
    <t>개인_ KT olleh 마켓</t>
  </si>
  <si>
    <t>FI20260131001142</t>
  </si>
  <si>
    <t>[매출] 1월 원스토어 LG</t>
  </si>
  <si>
    <t>A900010</t>
  </si>
  <si>
    <t>개인_LG World</t>
  </si>
  <si>
    <t>[매출] 1월 원스토어 SK</t>
  </si>
  <si>
    <t>A900050</t>
  </si>
  <si>
    <t>개인_SK T store</t>
  </si>
  <si>
    <t>[매출] 원스토어 해외 1월 매출_TW</t>
  </si>
  <si>
    <t>C102370</t>
  </si>
  <si>
    <t>원스토어 주식회사</t>
  </si>
  <si>
    <t>FI20260131001143</t>
  </si>
  <si>
    <t>[매출] 원스토어 해외 1월 매출_USA</t>
  </si>
  <si>
    <t>[매출/온라인] 26년 1월 터미널 3_크리티카 글로벌</t>
  </si>
  <si>
    <t>C800486</t>
  </si>
  <si>
    <t>FI20260131001179</t>
  </si>
  <si>
    <t>[매출/온라인] 26년 1월 터미널3_낚시의 신_WW</t>
  </si>
  <si>
    <t>[매출/온라인] 26년 1월 터미널3_크로니클_JP</t>
  </si>
  <si>
    <t>[매출/온라인] 26년 1월 터미널 3_크로니클 WW</t>
  </si>
  <si>
    <t>[매출/온라인] 26년 1월 터미널3_크로니클 WW_취소</t>
  </si>
  <si>
    <t>FI20260131001180</t>
  </si>
  <si>
    <t>[매출/온라인] 26년 1월 터미널3_크리티카 글로벌_취소</t>
  </si>
  <si>
    <t>C0021</t>
  </si>
  <si>
    <t>크리티카 글로벌</t>
  </si>
  <si>
    <t>[매출/온라인] 26년 1월 터미널3_낚시의 신_취소</t>
  </si>
  <si>
    <t>[매출/예상] 1월 아마존 EUR</t>
  </si>
  <si>
    <t>C800216</t>
  </si>
  <si>
    <t>EUR</t>
  </si>
  <si>
    <t>FI20260131001202</t>
  </si>
  <si>
    <t>[매출/예상] 1월 아마존 GBP</t>
  </si>
  <si>
    <t>GBP</t>
  </si>
  <si>
    <t>[매출/예상] 1월 아마존 USD</t>
  </si>
  <si>
    <t>[매출/예상] 1월 아마존 JPY</t>
  </si>
  <si>
    <t>[매출/예상] 01월 구글 KR / 역분개</t>
  </si>
  <si>
    <t>FI20260228000007</t>
  </si>
  <si>
    <t>[매출/예상] 01월 구글 JP / 역분개</t>
  </si>
  <si>
    <t>[매출/예상] 01월 구글 WW / 역분개</t>
  </si>
  <si>
    <t>[매출/예상] 01월 애플 KR / 역분개</t>
  </si>
  <si>
    <t>FI20260228000008</t>
  </si>
  <si>
    <t>[매출/예상] 01월 애플 JP / 역분개</t>
  </si>
  <si>
    <t>[매출/예상] 01월 애플 WW / 역분개</t>
  </si>
  <si>
    <t>[매출/예상] 1월 화웨이 / 역분개</t>
  </si>
  <si>
    <t>FI20260228000009</t>
  </si>
  <si>
    <t>[매출/예상] 1월 아마존 EUR / 역분개</t>
  </si>
  <si>
    <t>FI20260228000015</t>
  </si>
  <si>
    <t>[매출/예상] 1월 아마존 GBP / 역분개</t>
  </si>
  <si>
    <t>[매출/예상] 1월 아마존 USD / 역분개</t>
  </si>
  <si>
    <t>[매출/예상] 1월 아마존 JPY / 역분개</t>
  </si>
  <si>
    <t>[매출] 26년 2월 Beijing YJL 매출</t>
  </si>
  <si>
    <t>FI20260228000046</t>
  </si>
  <si>
    <t>[매출/확정] 1월 구글 KR</t>
  </si>
  <si>
    <t>FI20260228000124</t>
  </si>
  <si>
    <t>[매출/확정] 1월 구글 JP</t>
  </si>
  <si>
    <t>[매출/확정] 1월 구글 WW</t>
  </si>
  <si>
    <t>[매출/예상] 02월 구글 KR</t>
  </si>
  <si>
    <t>FI20260228000125</t>
  </si>
  <si>
    <t>[매출/예상] 02월 구글 JP</t>
  </si>
  <si>
    <t>[매출/예상] 02월 구글 WW</t>
  </si>
  <si>
    <t>[매출/확정] 1월 애플 KR</t>
  </si>
  <si>
    <t>FI20260228000126</t>
  </si>
  <si>
    <t>[매출/확정] 1월 애플 JP</t>
  </si>
  <si>
    <t>[매출/확정] 1월 애플 WW</t>
  </si>
  <si>
    <t>[매출/확정] 01월 화웨이</t>
  </si>
  <si>
    <t>FI20260228000128</t>
  </si>
  <si>
    <t>2월/매출_로열티정산/밸로프 루니아전기 로열티 정산(2026년 2월)</t>
  </si>
  <si>
    <t>FI20260228000223</t>
  </si>
  <si>
    <t>컴투스홀딩스 크리티카 모바일 정산(2026년 2월)</t>
  </si>
  <si>
    <t>FI20260228000224</t>
  </si>
  <si>
    <t>2월/매출_로열티정산/밸로프 제노니아 로열티 정산(2026년 2월)</t>
  </si>
  <si>
    <t>FI20260228000225</t>
  </si>
  <si>
    <t>[매출/온라인] 26년 2월 KCP_컴프야</t>
  </si>
  <si>
    <t>FI20260228000470</t>
  </si>
  <si>
    <t>[매출/온라인] 26년 2월 KCP_컴프야V (웹)</t>
  </si>
  <si>
    <t>[매출/온라인] 26년 2월 KCP_컴프야V</t>
  </si>
  <si>
    <t>[매출/온라인] 26년 2월 KCP_크로니클</t>
  </si>
  <si>
    <t>[매출/온라인] 26년 2월 KCP_컴프매</t>
  </si>
  <si>
    <t>[매출/온라인] 26년 2월 KCP_러쉬</t>
  </si>
  <si>
    <t>[매출/온라인] 26년 2월 KCP_낚시의신</t>
  </si>
  <si>
    <t>[매출/온라인] 26년 2월 KCP_스타라이트</t>
  </si>
  <si>
    <t>[매출/온라인] 26년 2월 KCP_스타라이트(웹)</t>
  </si>
  <si>
    <t>[매출/온라인] 26년 2월 KCP_아이모</t>
  </si>
  <si>
    <t>[매출/온라인] 26년 2월 네이버파이낸셜_컴프매</t>
  </si>
  <si>
    <t>FI20260228000471</t>
  </si>
  <si>
    <t>[매출/온라인] 26년 2월 네이버파이낸셜_컴프야</t>
  </si>
  <si>
    <t>[매출/온라인] 26년 2월 네이버파이낸셜_컴프야V</t>
  </si>
  <si>
    <t>[매출/온라인] 26년 2월 네이버파이낸셜_크로니클</t>
  </si>
  <si>
    <t>[매출/온라인] 26년2월 토스페이먼츠 매출</t>
  </si>
  <si>
    <t>FI20260228000472</t>
  </si>
  <si>
    <t>[매출/온라인] 2월 페이팔 WW</t>
  </si>
  <si>
    <t>FI20260228000473</t>
  </si>
  <si>
    <t>[매출/온라인] 2월 페이팔 JP</t>
  </si>
  <si>
    <t>[매출] 서머너즈 워 : 러쉬 Xsolla 2월 매출 처리</t>
  </si>
  <si>
    <t>FI20260228000474</t>
  </si>
  <si>
    <t>[매출/광고] 26년 2월 넵튠 광고매출</t>
  </si>
  <si>
    <t>FI20260228000475</t>
  </si>
  <si>
    <t>[매출/광고] 2026.02 FACEBOOK 매출</t>
  </si>
  <si>
    <t>FI20260228000476</t>
  </si>
  <si>
    <t>[매출/광고] 2026.02 LINE 매출_일본 원천세 10%</t>
  </si>
  <si>
    <t>FI20260228000477</t>
  </si>
  <si>
    <t>02월 / 로열티수익 / 26년 02월  OOTP 구장 로열티 KBO</t>
  </si>
  <si>
    <t>FI20260228000478</t>
  </si>
  <si>
    <t>02월 / 로열티수익 / 26년 02월  OOTP 구장 로열티 MLB</t>
  </si>
  <si>
    <t>[매출] 26년 2월 Redriver 서머너즈워 베트남 정산 USD 42,925.7</t>
  </si>
  <si>
    <t>FI20260228000553</t>
  </si>
  <si>
    <t>FI20260228001073</t>
  </si>
  <si>
    <t>[매출/예상] 2월 화웨이</t>
  </si>
  <si>
    <t>FI20260228001135</t>
  </si>
  <si>
    <t>[매출/예상] 02월 애플 KR</t>
  </si>
  <si>
    <t>FI20260228001136</t>
  </si>
  <si>
    <t>[매출/예상] 02월 애플 JP</t>
  </si>
  <si>
    <t>[매출/예상] 02월 애플 WW</t>
  </si>
  <si>
    <t>[매출/확정] 1월 아마존 EUR</t>
  </si>
  <si>
    <t>FI20260228001153</t>
  </si>
  <si>
    <t>[매출/확정] 1월 아마존 GBP</t>
  </si>
  <si>
    <t>[매출/확정] 1월 아마존 USD</t>
  </si>
  <si>
    <t>[매출/확정] 1월 아마존 JPY</t>
  </si>
  <si>
    <t>[매출/예상] 2월 아마존 EUR</t>
  </si>
  <si>
    <t>FI20260228001154</t>
  </si>
  <si>
    <t>[매출/예상] 2월 아마존 GBP</t>
  </si>
  <si>
    <t>[매출/예상] 2월 아마존 USD</t>
  </si>
  <si>
    <t>[매출/예상] 2월 아마존 JPY</t>
  </si>
  <si>
    <t>[매출] 2월 원스토어 KT</t>
  </si>
  <si>
    <t>FI20260228001155</t>
  </si>
  <si>
    <t>[매출] 2월 원스토어 LG</t>
  </si>
  <si>
    <t>[매출] 2월 원스토어 SK</t>
  </si>
  <si>
    <t>[매출] 원스토어 해외 2월 매출_TW</t>
  </si>
  <si>
    <t>FI20260228001156</t>
  </si>
  <si>
    <t>[매출] 원스토어 해외 2월 매출_USA</t>
  </si>
  <si>
    <t>[매출/확정] 2월 스팀 매출(1월 누락분)</t>
  </si>
  <si>
    <t>FI20260228001157</t>
  </si>
  <si>
    <t>[매출/온라인] 26년 2월 터미널 3_크리티카 글로벌</t>
  </si>
  <si>
    <t>FI20260228001174</t>
  </si>
  <si>
    <t>[매출/온라인] 26년 2월 터미널3_낚시의 신_WW</t>
  </si>
  <si>
    <t>A0003</t>
  </si>
  <si>
    <t>낚시의신</t>
  </si>
  <si>
    <t>[매출/온라인] 26년 2월 터미널3_크로니클_JP</t>
  </si>
  <si>
    <t>[매출/온라인] 26년 2월 터미널 3_크로니클 WW</t>
  </si>
  <si>
    <t>[매출/온라인] 26년 2월 터미널3_크리티카 글로벌_가산</t>
  </si>
  <si>
    <t>FI20260228001175</t>
  </si>
  <si>
    <t>[매출/온라인] 26년 2월 터미널3_낚시의 신_가산</t>
  </si>
  <si>
    <t>[매출/온라인] 26년 2월 터미널3_크로니클 WW_가산</t>
  </si>
  <si>
    <t>[매출/확정] 2월 스팀 매출</t>
  </si>
  <si>
    <t>FI20260228001188</t>
  </si>
  <si>
    <t>[매출/온라인] 26.2월 비바리퍼블리카 매출</t>
  </si>
  <si>
    <t>FI20260312000001</t>
  </si>
  <si>
    <t>[매출/예상] 02월 구글 KR / 역분개</t>
  </si>
  <si>
    <t>FI20260331000001</t>
  </si>
  <si>
    <t>[매출/예상] 02월 구글 JP / 역분개</t>
  </si>
  <si>
    <t>[매출/예상] 02월 구글 WW / 역분개</t>
  </si>
  <si>
    <t>[매출/예상] 2월 화웨이 / 역분개</t>
  </si>
  <si>
    <t>FI20260331000003</t>
  </si>
  <si>
    <t>[매출/예상] 02월 애플 KR / 역분개</t>
  </si>
  <si>
    <t>FI20260331000004</t>
  </si>
  <si>
    <t>[매출/예상] 02월 애플 JP / 역분개</t>
  </si>
  <si>
    <t>[매출/예상] 02월 애플 WW / 역분개</t>
  </si>
  <si>
    <t>[매출/예상] 2월 아마존 EUR / 역분개</t>
  </si>
  <si>
    <t>FI20260331000005</t>
  </si>
  <si>
    <t>[매출/예상] 2월 아마존 GBP / 역분개</t>
  </si>
  <si>
    <t>[매출/예상] 2월 아마존 USD / 역분개</t>
  </si>
  <si>
    <t>[매출/예상] 2월 아마존 JPY / 역분개</t>
  </si>
  <si>
    <t>[매출/확정] 3월 스팀 매출</t>
  </si>
  <si>
    <t>FI20260331000059</t>
  </si>
  <si>
    <t>[매출/확정] 2월 애플 KR</t>
  </si>
  <si>
    <t>FI20260331000060</t>
  </si>
  <si>
    <t>[매출/확정] 2월 애플 JP</t>
  </si>
  <si>
    <t>[매출/확정] 2월 애플 WW</t>
  </si>
  <si>
    <t>[매출/확정] 02월 아마존 EUR</t>
  </si>
  <si>
    <t>FI20260331000061</t>
  </si>
  <si>
    <t>[매출/확정] 02월 아마존 GBP</t>
  </si>
  <si>
    <t>[매출/확정] 02월 아마존 USD</t>
  </si>
  <si>
    <t>[매출/확정] 02월 아마존 JPY</t>
  </si>
  <si>
    <t>[매출/예상] 03월 애플 KR</t>
  </si>
  <si>
    <t>FI20260331000099</t>
  </si>
  <si>
    <t>[매출/예상] 03월 애플 JP</t>
  </si>
  <si>
    <t>[매출/예상] 03월 애플 WW</t>
  </si>
  <si>
    <t>[매출/확정] 02월 화웨이</t>
  </si>
  <si>
    <t>FI20260331000227</t>
  </si>
  <si>
    <t>[매출] 3월 원스토어 KT</t>
  </si>
  <si>
    <t>FI20260331000260</t>
  </si>
  <si>
    <t>[매출] 3월 원스토어 LG</t>
  </si>
  <si>
    <t>[매출] 3월 원스토어 SK</t>
  </si>
  <si>
    <t>[매출/예상] 3월 화웨이</t>
  </si>
  <si>
    <t>FI20260331000261</t>
  </si>
  <si>
    <t>[매출/확정] 2월 구글 KR</t>
  </si>
  <si>
    <t>FI20260331000266</t>
  </si>
  <si>
    <t>[매출/확정] 2월 구글 JP</t>
  </si>
  <si>
    <t>[매출/확정] 2월 구글 WW</t>
  </si>
  <si>
    <t>[매출/예상] 03월 구글 KR</t>
  </si>
  <si>
    <t>FI20260331000267</t>
  </si>
  <si>
    <t>[매출/예상] 03월 구글 JP</t>
  </si>
  <si>
    <t>[매출/예상] 03월 구글 WW</t>
  </si>
  <si>
    <t>[매출/예상] 3월 아마존 EUR</t>
  </si>
  <si>
    <t>FI20260331000272</t>
  </si>
  <si>
    <t>[매출/예상] 3월 아마존 GBP</t>
  </si>
  <si>
    <t>[매출/예상] 3월 아마존 USD</t>
  </si>
  <si>
    <t>[매출/예상] 3월 아마존 JPY</t>
  </si>
  <si>
    <t>[매출] 원스토어 해외 3월 매출_TW</t>
  </si>
  <si>
    <t>FI20260331000273</t>
  </si>
  <si>
    <t>[매출] 원스토어 해외 3월 매출_USA</t>
  </si>
  <si>
    <t>[매출/온라인] 26년 3월 KCP_컴프야</t>
  </si>
  <si>
    <t>FI20260331000384</t>
  </si>
  <si>
    <t>[매출/온라인] 26년 3월 KCP_컴프야V (웹)</t>
  </si>
  <si>
    <t>[매출/온라인] 26년 3월 KCP_컴프야V</t>
  </si>
  <si>
    <t>[매출/온라인] 26년 3월 KCP_크로니클</t>
  </si>
  <si>
    <t>[매출/온라인] 26년 3월 KCP_컴프매</t>
  </si>
  <si>
    <t>[매출/온라인] 26년 3월 KCP_러쉬</t>
  </si>
  <si>
    <t>[매출/온라인] 26년 3월 KCP_낚시의신</t>
  </si>
  <si>
    <t>[매출/온라인] 26년 3월 KCP_스타라이트</t>
  </si>
  <si>
    <t>[매출/온라인] 26년 3월 KCP_아이모</t>
  </si>
  <si>
    <t>[매출/온라인] 26년 3월 KCP_MLB 9이닝스</t>
  </si>
  <si>
    <t>[매출/온라인] 26년 3월 KCP_MLB 9이닝스(웹)</t>
  </si>
  <si>
    <t>[매출/온라인] 26년 3월 KCP_MLB라이벌</t>
  </si>
  <si>
    <t>[매출/온라인] 26년 3월 KCP_MLB라이벌(웹)</t>
  </si>
  <si>
    <t>[매출/온라인] 26.3월 비바리퍼블리카 매출</t>
  </si>
  <si>
    <t>FI20260331000385</t>
  </si>
  <si>
    <t>[매출/온라인] 26년3월 토스페이먼츠 매출</t>
  </si>
  <si>
    <t>FI20260331000386</t>
  </si>
  <si>
    <t>[매출/온라인] 26년 3월 네이버파이낸셜_컴프매</t>
  </si>
  <si>
    <t>FI20260331000387</t>
  </si>
  <si>
    <t>[매출/온라인] 26년 3월 네이버파이낸셜_컴프야</t>
  </si>
  <si>
    <t>[매출/온라인] 26년 3월 네이버파이낸셜_컴프야V</t>
  </si>
  <si>
    <t>[매출/온라인] 26년 3월 네이버파이낸셜_크로니클</t>
  </si>
  <si>
    <t>[매출/온라인] 3월 페이팔 WW</t>
  </si>
  <si>
    <t>FI20260331000388</t>
  </si>
  <si>
    <t>[매출/온라인] 3월 페이팔 JP</t>
  </si>
  <si>
    <t>[매출/온라인] 2026.03 마이카드 (TW)_MLB 9이닝스</t>
  </si>
  <si>
    <t>A0002</t>
  </si>
  <si>
    <t>MLB9이닝스</t>
  </si>
  <si>
    <t>FI20260331000389</t>
  </si>
  <si>
    <t>[매출/온라인] 2026.03 마이카드 (TW)_MLB라이벌</t>
  </si>
  <si>
    <t>A0025</t>
  </si>
  <si>
    <t>MLB라이벌</t>
  </si>
  <si>
    <t>[매출/온라인] 2026.03 Xsolla 매출_서머너즈 워: 러쉬</t>
  </si>
  <si>
    <t>FI20260331000390</t>
  </si>
  <si>
    <t>[매출/온라인] 2026.03 Xsolla 매출_MLB 9이닝스</t>
  </si>
  <si>
    <t>[매출/온라인] 2026.03 Xsolla 매출_MLB 라이벌</t>
  </si>
  <si>
    <t>[매출/광고] 2026.03 GOOGLE ADMOB</t>
  </si>
  <si>
    <t>FI20260331000391</t>
  </si>
  <si>
    <t>[매출/광고] 2026.03 FACEBOOK 매출</t>
  </si>
  <si>
    <t>FI20260331000392</t>
  </si>
  <si>
    <t>[매출/광고] 26년 3월 넵튠 광고매출</t>
  </si>
  <si>
    <t>FI20260331000393</t>
  </si>
  <si>
    <t>[매출/광고] 2026.03 LINE 매출_일본 원천세 10%</t>
  </si>
  <si>
    <t>FI20260331000394</t>
  </si>
  <si>
    <t>3월/매출_로열티정산/밸로프 루니아전기 로열티 정산(2026년 3월)</t>
  </si>
  <si>
    <t>FI20260331000414</t>
  </si>
  <si>
    <t>컴투스홀딩스 크리티카 모바일 정산(2026년 3월)</t>
  </si>
  <si>
    <t>FI20260331000416</t>
  </si>
  <si>
    <t>[매출/온라인] 26년 3월 터미널3_크리티카 글로벌</t>
  </si>
  <si>
    <t>FI20260331000545</t>
  </si>
  <si>
    <t>[매출/온라인] 26년 3월 터미널3_낚시의 신_WW</t>
  </si>
  <si>
    <t>[매출/온라인] 26년 3월 터미널3_크로니클_JP</t>
  </si>
  <si>
    <t>[매출/온라인] 26년 3월 터미널3_크로니클 WW</t>
  </si>
  <si>
    <t>[매출/온라인] 26년 3월 터미널 3_크로니클_KR</t>
  </si>
  <si>
    <t>[매출/온라인] 26년 3월 터미널 3_MLB라이벌(웹) 글로벌</t>
  </si>
  <si>
    <t>[매출/온라인] 26년 3월 터미널3_크리티카 글로벌_차감</t>
  </si>
  <si>
    <t>FI20260331000547</t>
  </si>
  <si>
    <t>[매출/온라인] 26년 3월 터미널3_크로니클 WW_가산</t>
  </si>
  <si>
    <t>03월 / 로열티수익 / 26년 03월  OOTP 구장 로열티 KBO</t>
  </si>
  <si>
    <t>FI20260331001393</t>
  </si>
  <si>
    <t>03월 / 로열티수익 / 26년 03월  OOTP 구장 로열티 MLB</t>
  </si>
  <si>
    <t>[매출] 26년 3월 Redriver 서머너즈워 베트남 정산 USD 58,194</t>
  </si>
  <si>
    <t>FI20260331001398</t>
  </si>
  <si>
    <t>[매출] 26년 3월 Beijing YJL 매출</t>
  </si>
  <si>
    <t>FI20260331001399</t>
  </si>
  <si>
    <t>FI20260331001438</t>
  </si>
  <si>
    <t>[K-IFRS] 26년 1분기 수익이연</t>
  </si>
  <si>
    <t>A100000</t>
  </si>
  <si>
    <t>컴투스</t>
  </si>
  <si>
    <t>CS10003163</t>
  </si>
  <si>
    <t>(주)컴투스&gt;경영전략부문&gt;재무관리실&gt;별도/세무회계팀</t>
  </si>
  <si>
    <t>미수취</t>
  </si>
  <si>
    <t>FI20260331001451</t>
  </si>
  <si>
    <t>[매출/예상] 03월 애플 KR / 역분개</t>
  </si>
  <si>
    <t>FI20260430000001</t>
  </si>
  <si>
    <t>[매출/예상] 03월 애플 JP / 역분개</t>
  </si>
  <si>
    <t>[매출/예상] 03월 애플 WW / 역분개</t>
  </si>
  <si>
    <t>[매출/예상] 3월 화웨이 / 역분개</t>
  </si>
  <si>
    <t>FI20260430000002</t>
  </si>
  <si>
    <t>[매출/예상] 03월 구글 KR / 역분개</t>
  </si>
  <si>
    <t>FI20260430000003</t>
  </si>
  <si>
    <t>[매출/예상] 03월 구글 JP / 역분개</t>
  </si>
  <si>
    <t>[매출/예상] 03월 구글 WW / 역분개</t>
  </si>
  <si>
    <t>[매출/예상] 3월 아마존 EUR / 역분개</t>
  </si>
  <si>
    <t>FI20260430000004</t>
  </si>
  <si>
    <t>[매출/예상] 3월 아마존 GBP / 역분개</t>
  </si>
  <si>
    <t>[매출/예상] 3월 아마존 USD / 역분개</t>
  </si>
  <si>
    <t>[매출/예상] 3월 아마존 JPY / 역분개</t>
  </si>
  <si>
    <t>[매출] 26년 4월 Redriver 서머너즈워 베트남 재정산 (25.12월 분) USD -76,683.99</t>
  </si>
  <si>
    <t>FI20260430000029</t>
  </si>
  <si>
    <t>[매출/온라인] 26년 4월 KCP_컴프야</t>
  </si>
  <si>
    <t>FI20260430000038</t>
  </si>
  <si>
    <t>[매출/온라인] 26년 4월 KCP_컴프야V (웹)</t>
  </si>
  <si>
    <t>[매출/온라인] 26년 4월 KCP_컴프야V</t>
  </si>
  <si>
    <t>[매출/온라인] 26년 4월 KCP_크로니클</t>
  </si>
  <si>
    <t>[매출/온라인] 26년 4월 KCP_컴프매</t>
  </si>
  <si>
    <t>[매출/온라인] 26년 4월 KCP_러쉬</t>
  </si>
  <si>
    <t>[매출/온라인] 26년 4월 KCP_낚시의신</t>
  </si>
  <si>
    <t>[매출/온라인] 26년 4월 KCP_아이모</t>
  </si>
  <si>
    <t>[매출/온라인] 26년 4월 KCP_MLB 9이닝스</t>
  </si>
  <si>
    <t>[매출/온라인] 26년 4월 KCP_MLB 9이닝스(웹)</t>
  </si>
  <si>
    <t>[매출/온라인] 26년 4월 KCP_MLB라이벌</t>
  </si>
  <si>
    <t>[매출/온라인] 26년 4월 KCP_MLB라이벌(웹)</t>
  </si>
  <si>
    <t>[매출/온라인] 26년4월 토스페이먼츠 매출</t>
  </si>
  <si>
    <t>FI20260430000039</t>
  </si>
  <si>
    <t>[매출/온라인] 26년 4월 네이버파이낸셜_컴프매</t>
  </si>
  <si>
    <t>FI20260430000041</t>
  </si>
  <si>
    <t>[매출/온라인] 26년 4월 네이버파이낸셜_컴프야</t>
  </si>
  <si>
    <t>[매출/온라인] 26년 4월 네이버파이낸셜_컴프야V</t>
  </si>
  <si>
    <t>[매출/온라인] 26년 4월 네이버파이낸셜_크로니클</t>
  </si>
  <si>
    <t>[매출/광고] 26년 4월 넵튠 광고매출</t>
  </si>
  <si>
    <t>FI20260430000063</t>
  </si>
  <si>
    <t>[매출/예상] 04월 구글 KR</t>
  </si>
  <si>
    <t>FI20260430000109</t>
  </si>
  <si>
    <t>[매출/예상] 04월 구글 JP</t>
  </si>
  <si>
    <t>[매출/예상] 04월 구글 WW</t>
  </si>
  <si>
    <t>[매출/예상] 04월 애플 KR</t>
  </si>
  <si>
    <t>FI20260430000110</t>
  </si>
  <si>
    <t>[매출/예상] 04월 애플 JP</t>
  </si>
  <si>
    <t>[매출/예상] 04월 애플 WW</t>
  </si>
  <si>
    <t>[매출/확정] 03월 화웨이</t>
  </si>
  <si>
    <t>FI20260430000111</t>
  </si>
  <si>
    <t>[매출/온라인] 26.4월 비바리퍼블리카 매출</t>
  </si>
  <si>
    <t>FI20260430000691</t>
  </si>
  <si>
    <t>[매출/광고] 2026.04 FACEBOOK 매출</t>
  </si>
  <si>
    <t>FI20260430000692</t>
  </si>
  <si>
    <t>[매출/광고] 2026.04 LINE 매출</t>
  </si>
  <si>
    <t>FI20260430000693</t>
  </si>
  <si>
    <t>[매출/온라인] 26년 04월 터미널 3_크리티카</t>
  </si>
  <si>
    <t>FI20260430001125</t>
  </si>
  <si>
    <t>[매출/온라인] 26년 04월 터미널 3_MLB라이벌(웹)</t>
  </si>
  <si>
    <t>[매출/온라인] 26년 04월 터미널3_낚시의 신_JP</t>
  </si>
  <si>
    <t>[매출/온라인] 26년 04월 터미널3_낚시의 신_WW</t>
  </si>
  <si>
    <t>[매출/온라인] 26년 04월 터미널3_크로니클_KR</t>
  </si>
  <si>
    <t>[매출/온라인] 26년 04월 터미널3_크로니클_JP</t>
  </si>
  <si>
    <t>[매출/온라인] 26년 04월 터미널3_크로니클_WW</t>
  </si>
  <si>
    <t>[매출/온라인] 26년 4월 터미널3_크리티카 글로벌_가산</t>
  </si>
  <si>
    <t>FI20260430001126</t>
  </si>
  <si>
    <t>[매출/온라인] 2026.04 페이팔_WW</t>
  </si>
  <si>
    <t>FI20260430001127</t>
  </si>
  <si>
    <t>[매출/온라인] 2026.04 페이팔_JP</t>
  </si>
  <si>
    <t>[매출/온라인] 2026.04 마이카드 (TW)</t>
  </si>
  <si>
    <t>FI20260430001130</t>
  </si>
  <si>
    <t>[매출/온라인] 2026.04 Xsolla 매출</t>
  </si>
  <si>
    <t>FI20260430001131</t>
  </si>
  <si>
    <t>[매출] 26년 4월 Redriver 서머너즈워 베트남 매출</t>
  </si>
  <si>
    <t>FI20260430001156</t>
  </si>
  <si>
    <t>FI20260430001192</t>
  </si>
  <si>
    <t>4월/매출_로열티정산/밸로프 루니아전기 로열티 정산(2026년 4월)</t>
  </si>
  <si>
    <t>FI20260430001254</t>
  </si>
  <si>
    <t>4월/매출_정산/컴투스홀딩스 크리티카 모바일 정산(2026년 4월)</t>
  </si>
  <si>
    <t>FI20260430001255</t>
  </si>
  <si>
    <t>[매출/확정] 03월 아마존 EUR</t>
  </si>
  <si>
    <t>FI20260430001299</t>
  </si>
  <si>
    <t>[매출/확정] 03월 아마존 GBP</t>
  </si>
  <si>
    <t>[매출/확정] 03월 아마존 USD</t>
  </si>
  <si>
    <t>[매출/확정] 03월 아마존 JPY</t>
  </si>
  <si>
    <t>[매출/예상] 4월 화웨이</t>
  </si>
  <si>
    <t>FI20260430001310</t>
  </si>
  <si>
    <t>[매출/예상] 4월 아마존 EUR</t>
  </si>
  <si>
    <t>FI20260430001316</t>
  </si>
  <si>
    <t>[매출/예상] 4월 아마존 GBP</t>
  </si>
  <si>
    <t>[매출/예상] 4월 아마존 USD</t>
  </si>
  <si>
    <t>[매출/예상] 4월 아마존 JPY</t>
  </si>
  <si>
    <t>[매출/확정] 4월 스팀 매출</t>
  </si>
  <si>
    <t>FI20260430001322</t>
  </si>
  <si>
    <t>[매출] 4월 원스토어 KT</t>
  </si>
  <si>
    <t>FI20260430001324</t>
  </si>
  <si>
    <t>[매출] 4월 원스토어 LG</t>
  </si>
  <si>
    <t>[매출] 4월 원스토어 SK</t>
  </si>
  <si>
    <t>[매출] 원스토어 해외 4월 매출_TW</t>
  </si>
  <si>
    <t>FI20260430001325</t>
  </si>
  <si>
    <t>[매출] 원스토어 해외 4월 매출_USA</t>
  </si>
  <si>
    <t>04월 / 로열티수익 / 26년 04월  OOTP 구장 로열티 KBO</t>
  </si>
  <si>
    <t>FI20260430001327</t>
  </si>
  <si>
    <t>04월 / 로열티수익 / 26년 04월  OOTP 구장 로열티 MLB</t>
  </si>
  <si>
    <t>[매출/확정] 3월 애플 KR</t>
  </si>
  <si>
    <t>FI20260430001328</t>
  </si>
  <si>
    <t>[매출/확정] 3월 애플 JP</t>
  </si>
  <si>
    <t>[매출/확정] 3월 애플 WW</t>
  </si>
  <si>
    <t>[매출/확정] 3월 구글 KR</t>
  </si>
  <si>
    <t>FI20260430001329</t>
  </si>
  <si>
    <t>[매출/확정] 3월 구글 JP</t>
  </si>
  <si>
    <t>[매출/확정] 3월 구글 WW</t>
  </si>
  <si>
    <t>[매출] 26년 4월 Beijing YJL 매출</t>
  </si>
  <si>
    <t>FI20260430001336</t>
  </si>
  <si>
    <t>Raw_Data 상세 조회</t>
  </si>
  <si>
    <t>드롭다운 또는 쉼표(,)로 다중입력 (예: 5월,6월)  |  (전체) 선택시 해당 조건 미적용</t>
  </si>
  <si>
    <t>거래처(표시명)</t>
  </si>
  <si>
    <t>(전체)</t>
  </si>
  <si>
    <t>주식회사 에이피알</t>
  </si>
  <si>
    <t>케이씨피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</si>
</sst>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-mm\-dd\ h:mm:ss"/>
  </numFmts>
  <fonts count="11" x14ac:knownFonts="1">
    <font>
      <sz val="11"/>
      <color theme="1"/>
      <name val="맑은 고딕"/>
      <family val="2"/>
      <scheme val="minor"/>
    </font>
    <font>
      <b/>
      <sz val="13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666666"/>
      <name val="Arial"/>
      <family val="2"/>
    </font>
    <font>
      <sz val="11"/>
      <color theme="1"/>
      <name val="맑은 고딕"/>
      <family val="2"/>
      <scheme val="minor"/>
    </font>
    <font>
      <b/>
      <sz val="13"/>
      <color rgb="FFFFFFFF"/>
      <name val="Arial"/>
      <family val="2"/>
    </font>
    <font>
      <sz val="8"/>
      <name val="맑은 고딕"/>
      <family val="3"/>
      <charset val="129"/>
      <scheme val="minor"/>
    </font>
    <font>
      <b/>
      <sz val="10"/>
      <color rgb="FF1F4E7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AFAFA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404040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7030A0"/>
      </patternFill>
    </fill>
    <fill>
      <patternFill patternType="solid">
        <fgColor rgb="FFEAD7F7"/>
      </patternFill>
    </fill>
    <fill>
      <patternFill patternType="solid">
        <fgColor rgb="FFEBF3FF"/>
      </patternFill>
    </fill>
    <fill>
      <patternFill patternType="solid">
        <fgColor rgb="FFFFFFFF"/>
      </patternFill>
    </fill>
    <fill>
      <patternFill patternType="solid">
        <fgColor rgb="FF1A73E8"/>
      </patternFill>
    </fill>
    <fill>
      <patternFill patternType="solid">
        <fgColor rgb="FF2C5F8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medium">
        <color rgb="FF1A73E8"/>
      </left>
      <right style="medium">
        <color rgb="FF1A73E8"/>
      </right>
      <top style="medium">
        <color rgb="FF1A73E8"/>
      </top>
      <bottom style="medium">
        <color rgb="FF1A73E8"/>
      </bottom>
      <diagonal/>
    </border>
  </borders>
  <cellStyleXfs count="2">
    <xf numFmtId="0" fontId="0" fillId="0" borderId="0"/>
    <xf numFmtId="41" fontId="7" fillId="0" borderId="0" applyFont="0" applyFill="0" applyBorder="0" applyAlignment="0" applyProtection="0">
      <alignment vertical="center"/>
    </xf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4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3" fontId="4" fillId="8" borderId="1" xfId="0" applyNumberFormat="1" applyFont="1" applyFill="1" applyBorder="1" applyAlignment="1">
      <alignment horizontal="right" vertical="center"/>
    </xf>
    <xf numFmtId="0" fontId="0" fillId="8" borderId="1" xfId="0" applyFill="1" applyBorder="1"/>
    <xf numFmtId="0" fontId="4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3" fontId="4" fillId="10" borderId="1" xfId="0" applyNumberFormat="1" applyFont="1" applyFill="1" applyBorder="1" applyAlignment="1">
      <alignment horizontal="right" vertical="center"/>
    </xf>
    <xf numFmtId="0" fontId="0" fillId="10" borderId="1" xfId="0" applyFill="1" applyBorder="1"/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5" borderId="2" xfId="0" applyFill="1" applyBorder="1"/>
    <xf numFmtId="0" fontId="3" fillId="0" borderId="1" xfId="0" applyFont="1" applyBorder="1"/>
    <xf numFmtId="176" fontId="3" fillId="0" borderId="1" xfId="0" applyNumberFormat="1" applyFont="1" applyBorder="1"/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2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8" fillId="2" borderId="0" xfId="0" applyFont="1" applyFill="1" applyAlignment="1">
      <alignment horizontal="left" vertical="center"/>
    </xf>
    <xf numFmtId="0" fontId="10" fillId="11" borderId="1" xfId="0" applyFont="1" applyFill="1" applyBorder="1" applyAlignment="1">
      <alignment horizontal="right" vertical="center"/>
    </xf>
    <xf numFmtId="0" fontId="4" fillId="12" borderId="3" xfId="0" applyFont="1" applyFill="1" applyBorder="1" applyAlignment="1">
      <alignment horizontal="left" vertical="center"/>
    </xf>
    <xf numFmtId="0" fontId="6" fillId="0" borderId="0" xfId="0" applyFont="1"/>
    <xf numFmtId="0" fontId="0" fillId="13" borderId="0" xfId="0" applyFill="1"/>
    <xf numFmtId="14" fontId="0" fillId="13" borderId="0" xfId="0" applyNumberFormat="1" applyFill="1"/>
    <xf numFmtId="41" fontId="0" fillId="13" borderId="0" xfId="1" applyFont="1" applyFill="1" applyAlignment="1"/>
    <xf numFmtId="0" fontId="2" fillId="14" borderId="1" xfId="0" applyFont="1" applyFill="1" applyBorder="1" applyAlignment="1">
      <alignment horizontal="center" vertical="center"/>
    </xf>
    <xf numFmtId="14" fontId="2" fillId="14" borderId="1" xfId="0" applyNumberFormat="1" applyFont="1" applyFill="1" applyBorder="1" applyAlignment="1">
      <alignment horizontal="center" vertical="center"/>
    </xf>
    <xf numFmtId="41" fontId="2" fillId="14" borderId="1" xfId="1" applyFont="1" applyFill="1" applyBorder="1" applyAlignment="1">
      <alignment horizontal="center" vertical="center"/>
    </xf>
    <xf numFmtId="14" fontId="0" fillId="0" borderId="0" xfId="0" applyNumberFormat="1"/>
    <xf numFmtId="3" fontId="0" fillId="0" borderId="0" xfId="1" applyNumberFormat="1" applyFont="1" applyAlignment="1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9EB4D5F-4A32-4B45-BF4A-2DAF45F2125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26b1147-e58c-4bf8-947f-c414248ac81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2" customWidth="1"/>
    <col min="2" max="2" width="20" customWidth="1"/>
    <col min="3" max="6" width="13" customWidth="1"/>
  </cols>
  <sheetData>
    <row r="1" spans="1:6" x14ac:dyDescent="0.3">
      <c r="A1" s="1" t="s">
        <v>0</v>
      </c>
    </row>
    <row r="2" spans="1:6" x14ac:dyDescent="0.3">
      <c r="F2" s="2" t="s">
        <v>1</v>
      </c>
    </row>
    <row r="3" spans="1: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3">
      <c r="A4" s="4" t="s">
        <v>8</v>
      </c>
      <c r="B4" s="4" t="s">
        <v>9</v>
      </c>
      <c r="C4" s="5">
        <f>IFERROR(SUMIFS(Raw_Data!$G:$G,Raw_Data!$AG:$AG,"애플",Raw_Data!$AH:$AH,"1월",Raw_Data!$AE:$AE,"게임매출")/1000000,0)</f>
        <v>16546.201960999999</v>
      </c>
      <c r="D4" s="5">
        <f>IFERROR(SUMIFS(Raw_Data!$G:$G,Raw_Data!$AG:$AG,"애플",Raw_Data!$AH:$AH,"2월",Raw_Data!$AE:$AE,"게임매출")/1000000,0)</f>
        <v>17056.77448</v>
      </c>
      <c r="E4" s="5">
        <f>IFERROR(SUMIFS(Raw_Data!$G:$G,Raw_Data!$AG:$AG,"애플",Raw_Data!$AH:$AH,"3월",Raw_Data!$AE:$AE,"게임매출")/1000000,0)</f>
        <v>17717.311450000001</v>
      </c>
      <c r="F4" s="5">
        <f>IFERROR(SUMIFS(Raw_Data!$G:$G,Raw_Data!$AG:$AG,"애플",Raw_Data!$AH:$AH,"4월",Raw_Data!$AE:$AE,"게임매출")/1000000,0)</f>
        <v>19327.237510999999</v>
      </c>
    </row>
    <row r="5" spans="1:6" x14ac:dyDescent="0.3">
      <c r="A5" s="6" t="s">
        <v>8</v>
      </c>
      <c r="B5" s="6" t="s">
        <v>10</v>
      </c>
      <c r="C5" s="7">
        <f>IFERROR(SUMIFS(Raw_Data!$G:$G,Raw_Data!$AG:$AG,"구글",Raw_Data!$AH:$AH,"1월",Raw_Data!$AE:$AE,"게임매출")/1000000,0)</f>
        <v>13448.647564999999</v>
      </c>
      <c r="D5" s="7">
        <f>IFERROR(SUMIFS(Raw_Data!$G:$G,Raw_Data!$AG:$AG,"구글",Raw_Data!$AH:$AH,"2월",Raw_Data!$AE:$AE,"게임매출")/1000000,0)</f>
        <v>14419.718224</v>
      </c>
      <c r="E5" s="7">
        <f>IFERROR(SUMIFS(Raw_Data!$G:$G,Raw_Data!$AG:$AG,"구글",Raw_Data!$AH:$AH,"3월",Raw_Data!$AE:$AE,"게임매출")/1000000,0)</f>
        <v>13732.600499</v>
      </c>
      <c r="F5" s="7">
        <f>IFERROR(SUMIFS(Raw_Data!$G:$G,Raw_Data!$AG:$AG,"구글",Raw_Data!$AH:$AH,"4월",Raw_Data!$AE:$AE,"게임매출")/1000000,0)</f>
        <v>16225.336835</v>
      </c>
    </row>
    <row r="6" spans="1:6" x14ac:dyDescent="0.3">
      <c r="A6" s="4" t="s">
        <v>8</v>
      </c>
      <c r="B6" s="4" t="s">
        <v>11</v>
      </c>
      <c r="C6" s="5">
        <f>IFERROR(SUMIFS(Raw_Data!$G:$G,Raw_Data!$AG:$AG,"원스토어",Raw_Data!$AH:$AH,"1월",Raw_Data!$AE:$AE,"게임매출")/1000000,0)</f>
        <v>4431.6807600000002</v>
      </c>
      <c r="D6" s="5">
        <f>IFERROR(SUMIFS(Raw_Data!$G:$G,Raw_Data!$AG:$AG,"원스토어",Raw_Data!$AH:$AH,"2월",Raw_Data!$AE:$AE,"게임매출")/1000000,0)</f>
        <v>4397.6983399999999</v>
      </c>
      <c r="E6" s="5">
        <f>IFERROR(SUMIFS(Raw_Data!$G:$G,Raw_Data!$AG:$AG,"원스토어",Raw_Data!$AH:$AH,"3월",Raw_Data!$AE:$AE,"게임매출")/1000000,0)</f>
        <v>4309.0617869999996</v>
      </c>
      <c r="F6" s="5">
        <f>IFERROR(SUMIFS(Raw_Data!$G:$G,Raw_Data!$AG:$AG,"원스토어",Raw_Data!$AH:$AH,"4월",Raw_Data!$AE:$AE,"게임매출")/1000000,0)</f>
        <v>4384.1162400000003</v>
      </c>
    </row>
    <row r="7" spans="1:6" x14ac:dyDescent="0.3">
      <c r="A7" s="6" t="s">
        <v>8</v>
      </c>
      <c r="B7" s="6" t="s">
        <v>12</v>
      </c>
      <c r="C7" s="7">
        <f>IFERROR(SUMIFS(Raw_Data!$G:$G,Raw_Data!$AG:$AG,"Valve",Raw_Data!$AH:$AH,"1월",Raw_Data!$AE:$AE,"게임매출")/1000000,0)</f>
        <v>1414.892374</v>
      </c>
      <c r="D7" s="7">
        <f>IFERROR(SUMIFS(Raw_Data!$G:$G,Raw_Data!$AG:$AG,"Valve",Raw_Data!$AH:$AH,"2월",Raw_Data!$AE:$AE,"게임매출")/1000000,0)</f>
        <v>1434.9070280000001</v>
      </c>
      <c r="E7" s="7">
        <f>IFERROR(SUMIFS(Raw_Data!$G:$G,Raw_Data!$AG:$AG,"Valve",Raw_Data!$AH:$AH,"3월",Raw_Data!$AE:$AE,"게임매출")/1000000,0)</f>
        <v>1229.9719439999999</v>
      </c>
      <c r="F7" s="7">
        <f>IFERROR(SUMIFS(Raw_Data!$G:$G,Raw_Data!$AG:$AG,"Valve",Raw_Data!$AH:$AH,"4월",Raw_Data!$AE:$AE,"게임매출")/1000000,0)</f>
        <v>1826.602402</v>
      </c>
    </row>
    <row r="8" spans="1:6" x14ac:dyDescent="0.3">
      <c r="A8" s="4" t="s">
        <v>8</v>
      </c>
      <c r="B8" s="4" t="s">
        <v>13</v>
      </c>
      <c r="C8" s="5">
        <f>IFERROR(SUMIFS(Raw_Data!$G:$G,Raw_Data!$AG:$AG,"Huawei",Raw_Data!$AH:$AH,"1월",Raw_Data!$AE:$AE,"게임매출")/1000000,0)</f>
        <v>973.263687</v>
      </c>
      <c r="D8" s="5">
        <f>IFERROR(SUMIFS(Raw_Data!$G:$G,Raw_Data!$AG:$AG,"Huawei",Raw_Data!$AH:$AH,"2월",Raw_Data!$AE:$AE,"게임매출")/1000000,0)</f>
        <v>979.56424400000003</v>
      </c>
      <c r="E8" s="5">
        <f>IFERROR(SUMIFS(Raw_Data!$G:$G,Raw_Data!$AG:$AG,"Huawei",Raw_Data!$AH:$AH,"3월",Raw_Data!$AE:$AE,"게임매출")/1000000,0)</f>
        <v>892.93405600000006</v>
      </c>
      <c r="F8" s="5">
        <f>IFERROR(SUMIFS(Raw_Data!$G:$G,Raw_Data!$AG:$AG,"Huawei",Raw_Data!$AH:$AH,"4월",Raw_Data!$AE:$AE,"게임매출")/1000000,0)</f>
        <v>1120.0214739999999</v>
      </c>
    </row>
    <row r="9" spans="1:6" x14ac:dyDescent="0.3">
      <c r="A9" s="6" t="s">
        <v>8</v>
      </c>
      <c r="B9" s="6" t="s">
        <v>14</v>
      </c>
      <c r="C9" s="7">
        <f>IFERROR(SUMIFS(Raw_Data!$G:$G,Raw_Data!$AG:$AG,"NHN",Raw_Data!$AH:$AH,"1월",Raw_Data!$AE:$AE,"게임매출")/1000000,0)</f>
        <v>1176.783913</v>
      </c>
      <c r="D9" s="7">
        <f>IFERROR(SUMIFS(Raw_Data!$G:$G,Raw_Data!$AG:$AG,"NHN",Raw_Data!$AH:$AH,"2월",Raw_Data!$AE:$AE,"게임매출")/1000000,0)</f>
        <v>1064.2218230000001</v>
      </c>
      <c r="E9" s="7">
        <f>IFERROR(SUMIFS(Raw_Data!$G:$G,Raw_Data!$AG:$AG,"NHN",Raw_Data!$AH:$AH,"3월",Raw_Data!$AE:$AE,"게임매출")/1000000,0)</f>
        <v>941.88882100000001</v>
      </c>
      <c r="F9" s="7">
        <f>IFERROR(SUMIFS(Raw_Data!$G:$G,Raw_Data!$AG:$AG,"NHN",Raw_Data!$AH:$AH,"4월",Raw_Data!$AE:$AE,"게임매출")/1000000,0)</f>
        <v>1159.0804579999999</v>
      </c>
    </row>
    <row r="10" spans="1:6" x14ac:dyDescent="0.3">
      <c r="A10" s="4" t="s">
        <v>8</v>
      </c>
      <c r="B10" s="4" t="s">
        <v>15</v>
      </c>
      <c r="C10" s="5">
        <f>IFERROR(SUMIFS(Raw_Data!$G:$G,Raw_Data!$AG:$AG,"Beijing Raymobile",Raw_Data!$AH:$AH,"1월",Raw_Data!$AE:$AE,"게임매출")/1000000,0)</f>
        <v>772.26265699999999</v>
      </c>
      <c r="D10" s="5">
        <f>IFERROR(SUMIFS(Raw_Data!$G:$G,Raw_Data!$AG:$AG,"Beijing Raymobile",Raw_Data!$AH:$AH,"2월",Raw_Data!$AE:$AE,"게임매출")/1000000,0)</f>
        <v>755.33302300000003</v>
      </c>
      <c r="E10" s="5">
        <f>IFERROR(SUMIFS(Raw_Data!$G:$G,Raw_Data!$AG:$AG,"Beijing Raymobile",Raw_Data!$AH:$AH,"3월",Raw_Data!$AE:$AE,"게임매출")/1000000,0)</f>
        <v>514.30051300000002</v>
      </c>
      <c r="F10" s="5">
        <f>IFERROR(SUMIFS(Raw_Data!$G:$G,Raw_Data!$AG:$AG,"Beijing Raymobile",Raw_Data!$AH:$AH,"4월",Raw_Data!$AE:$AE,"게임매출")/1000000,0)</f>
        <v>660.38051399999995</v>
      </c>
    </row>
    <row r="11" spans="1:6" x14ac:dyDescent="0.3">
      <c r="A11" s="4" t="s">
        <v>8</v>
      </c>
      <c r="B11" s="4" t="s">
        <v>16</v>
      </c>
      <c r="C11" s="5">
        <f>IFERROR((SUMIFS(Raw_Data!$G:$G,Raw_Data!$AH:$AH,"1월",Raw_Data!$AE:$AE,"게임매출")-(SUMIFS(Raw_Data!$G:$G,Raw_Data!$AG:$AG,"애플",Raw_Data!$AH:$AH,"1월",Raw_Data!$AE:$AE,"게임매출")+SUMIFS(Raw_Data!$G:$G,Raw_Data!$AG:$AG,"구글",Raw_Data!$AH:$AH,"1월",Raw_Data!$AE:$AE,"게임매출")+SUMIFS(Raw_Data!$G:$G,Raw_Data!$AG:$AG,"원스토어",Raw_Data!$AH:$AH,"1월",Raw_Data!$AE:$AE,"게임매출")+SUMIFS(Raw_Data!$G:$G,Raw_Data!$AG:$AG,"Valve",Raw_Data!$AH:$AH,"1월",Raw_Data!$AE:$AE,"게임매출")+SUMIFS(Raw_Data!$G:$G,Raw_Data!$AG:$AG,"Huawei",Raw_Data!$AH:$AH,"1월",Raw_Data!$AE:$AE,"게임매출")+SUMIFS(Raw_Data!$G:$G,Raw_Data!$AG:$AG,"NHN",Raw_Data!$AH:$AH,"1월",Raw_Data!$AE:$AE,"게임매출")+SUMIFS(Raw_Data!$G:$G,Raw_Data!$AG:$AG,"Beijing Raymobile",Raw_Data!$AH:$AH,"1월",Raw_Data!$AE:$AE,"게임매출")))/1000000,0)</f>
        <v>1383.347886</v>
      </c>
      <c r="D11" s="5">
        <f>IFERROR((SUMIFS(Raw_Data!$G:$G,Raw_Data!$AH:$AH,"2월",Raw_Data!$AE:$AE,"게임매출")-(SUMIFS(Raw_Data!$G:$G,Raw_Data!$AG:$AG,"애플",Raw_Data!$AH:$AH,"2월",Raw_Data!$AE:$AE,"게임매출")+SUMIFS(Raw_Data!$G:$G,Raw_Data!$AG:$AG,"구글",Raw_Data!$AH:$AH,"2월",Raw_Data!$AE:$AE,"게임매출")+SUMIFS(Raw_Data!$G:$G,Raw_Data!$AG:$AG,"원스토어",Raw_Data!$AH:$AH,"2월",Raw_Data!$AE:$AE,"게임매출")+SUMIFS(Raw_Data!$G:$G,Raw_Data!$AG:$AG,"Valve",Raw_Data!$AH:$AH,"2월",Raw_Data!$AE:$AE,"게임매출")+SUMIFS(Raw_Data!$G:$G,Raw_Data!$AG:$AG,"Huawei",Raw_Data!$AH:$AH,"2월",Raw_Data!$AE:$AE,"게임매출")+SUMIFS(Raw_Data!$G:$G,Raw_Data!$AG:$AG,"NHN",Raw_Data!$AH:$AH,"2월",Raw_Data!$AE:$AE,"게임매출")+SUMIFS(Raw_Data!$G:$G,Raw_Data!$AG:$AG,"Beijing Raymobile",Raw_Data!$AH:$AH,"2월",Raw_Data!$AE:$AE,"게임매출")))/1000000,0)</f>
        <v>1337.6689919999999</v>
      </c>
      <c r="E11" s="5">
        <f>IFERROR((SUMIFS(Raw_Data!$G:$G,Raw_Data!$AH:$AH,"3월",Raw_Data!$AE:$AE,"게임매출")-(SUMIFS(Raw_Data!$G:$G,Raw_Data!$AG:$AG,"애플",Raw_Data!$AH:$AH,"3월",Raw_Data!$AE:$AE,"게임매출")+SUMIFS(Raw_Data!$G:$G,Raw_Data!$AG:$AG,"구글",Raw_Data!$AH:$AH,"3월",Raw_Data!$AE:$AE,"게임매출")+SUMIFS(Raw_Data!$G:$G,Raw_Data!$AG:$AG,"원스토어",Raw_Data!$AH:$AH,"3월",Raw_Data!$AE:$AE,"게임매출")+SUMIFS(Raw_Data!$G:$G,Raw_Data!$AG:$AG,"Valve",Raw_Data!$AH:$AH,"3월",Raw_Data!$AE:$AE,"게임매출")+SUMIFS(Raw_Data!$G:$G,Raw_Data!$AG:$AG,"Huawei",Raw_Data!$AH:$AH,"3월",Raw_Data!$AE:$AE,"게임매출")+SUMIFS(Raw_Data!$G:$G,Raw_Data!$AG:$AG,"NHN",Raw_Data!$AH:$AH,"3월",Raw_Data!$AE:$AE,"게임매출")+SUMIFS(Raw_Data!$G:$G,Raw_Data!$AG:$AG,"Beijing Raymobile",Raw_Data!$AH:$AH,"3월",Raw_Data!$AE:$AE,"게임매출")))/1000000,0)</f>
        <v>41.182653000000002</v>
      </c>
      <c r="F11" s="5">
        <f>IFERROR((SUMIFS(Raw_Data!$G:$G,Raw_Data!$AH:$AH,"4월",Raw_Data!$AE:$AE,"게임매출")-(SUMIFS(Raw_Data!$G:$G,Raw_Data!$AG:$AG,"애플",Raw_Data!$AH:$AH,"4월",Raw_Data!$AE:$AE,"게임매출")+SUMIFS(Raw_Data!$G:$G,Raw_Data!$AG:$AG,"구글",Raw_Data!$AH:$AH,"4월",Raw_Data!$AE:$AE,"게임매출")+SUMIFS(Raw_Data!$G:$G,Raw_Data!$AG:$AG,"원스토어",Raw_Data!$AH:$AH,"4월",Raw_Data!$AE:$AE,"게임매출")+SUMIFS(Raw_Data!$G:$G,Raw_Data!$AG:$AG,"Valve",Raw_Data!$AH:$AH,"4월",Raw_Data!$AE:$AE,"게임매출")+SUMIFS(Raw_Data!$G:$G,Raw_Data!$AG:$AG,"Huawei",Raw_Data!$AH:$AH,"4월",Raw_Data!$AE:$AE,"게임매출")+SUMIFS(Raw_Data!$G:$G,Raw_Data!$AG:$AG,"NHN",Raw_Data!$AH:$AH,"4월",Raw_Data!$AE:$AE,"게임매출")+SUMIFS(Raw_Data!$G:$G,Raw_Data!$AG:$AG,"Beijing Raymobile",Raw_Data!$AH:$AH,"4월",Raw_Data!$AE:$AE,"게임매출")))/1000000,0)</f>
        <v>2262.331819</v>
      </c>
    </row>
    <row r="12" spans="1:6" x14ac:dyDescent="0.3">
      <c r="A12" s="8" t="s">
        <v>8</v>
      </c>
      <c r="B12" s="8" t="s">
        <v>17</v>
      </c>
      <c r="C12" s="9">
        <f>IFERROR(SUMIFS(Raw_Data!$G:$G,Raw_Data!$AH:$AH,"1월",Raw_Data!$AE:$AE,"게임매출")/1000000,0)</f>
        <v>40147.080802999997</v>
      </c>
      <c r="D12" s="9">
        <f>IFERROR(SUMIFS(Raw_Data!$G:$G,Raw_Data!$AH:$AH,"2월",Raw_Data!$AE:$AE,"게임매출")/1000000,0)</f>
        <v>41445.886154</v>
      </c>
      <c r="E12" s="9">
        <f>IFERROR(SUMIFS(Raw_Data!$G:$G,Raw_Data!$AH:$AH,"3월",Raw_Data!$AE:$AE,"게임매출")/1000000,0)</f>
        <v>39379.251723000001</v>
      </c>
      <c r="F12" s="9">
        <f>IFERROR(SUMIFS(Raw_Data!$G:$G,Raw_Data!$AH:$AH,"4월",Raw_Data!$AE:$AE,"게임매출")/1000000,0)</f>
        <v>46965.107253000002</v>
      </c>
    </row>
    <row r="13" spans="1:6" x14ac:dyDescent="0.3">
      <c r="A13" s="6" t="s">
        <v>18</v>
      </c>
      <c r="B13" s="6" t="s">
        <v>17</v>
      </c>
      <c r="C13" s="7">
        <f>IFERROR(SUMIFS(Raw_Data!$G:$G,Raw_Data!$AH:$AH,"1월",Raw_Data!$AE:$AE,"기타수익")/1000000,0)</f>
        <v>131.13568000000001</v>
      </c>
      <c r="D13" s="7">
        <f>IFERROR(SUMIFS(Raw_Data!$G:$G,Raw_Data!$AH:$AH,"2월",Raw_Data!$AE:$AE,"기타수익")/1000000,0)</f>
        <v>111.108726</v>
      </c>
      <c r="E13" s="7">
        <f>IFERROR(SUMIFS(Raw_Data!$G:$G,Raw_Data!$AH:$AH,"3월",Raw_Data!$AE:$AE,"기타수익")/1000000,0)</f>
        <v>392.67081899999999</v>
      </c>
      <c r="F13" s="7">
        <f>IFERROR(SUMIFS(Raw_Data!$G:$G,Raw_Data!$AH:$AH,"4월",Raw_Data!$AE:$AE,"기타수익")/1000000,0)</f>
        <v>307.08950700000003</v>
      </c>
    </row>
    <row r="14" spans="1:6" x14ac:dyDescent="0.3">
      <c r="A14" s="6" t="s">
        <v>19</v>
      </c>
      <c r="B14" s="6" t="s">
        <v>17</v>
      </c>
      <c r="C14" s="7">
        <f>IFERROR(SUMIFS(Raw_Data!$G:$G,Raw_Data!$AH:$AH,"1월",Raw_Data!$AE:$AE,"용역수익")/1000000,0)</f>
        <v>407.363922</v>
      </c>
      <c r="D14" s="7">
        <f>IFERROR(SUMIFS(Raw_Data!$G:$G,Raw_Data!$AH:$AH,"2월",Raw_Data!$AE:$AE,"용역수익")/1000000,0)</f>
        <v>395.97834</v>
      </c>
      <c r="E14" s="7">
        <f>IFERROR(SUMIFS(Raw_Data!$G:$G,Raw_Data!$AH:$AH,"3월",Raw_Data!$AE:$AE,"용역수익")/1000000,0)</f>
        <v>380.012587</v>
      </c>
      <c r="F14" s="7">
        <f>IFERROR(SUMIFS(Raw_Data!$G:$G,Raw_Data!$AH:$AH,"4월",Raw_Data!$AE:$AE,"용역수익")/1000000,0)</f>
        <v>370.67430200000001</v>
      </c>
    </row>
    <row r="15" spans="1:6" x14ac:dyDescent="0.3">
      <c r="A15" s="10" t="s">
        <v>17</v>
      </c>
      <c r="B15" s="11" t="s">
        <v>20</v>
      </c>
      <c r="C15" s="12">
        <f>C12+C13+C14</f>
        <v>40685.580404999993</v>
      </c>
      <c r="D15" s="12">
        <f>D12+D13+D14</f>
        <v>41952.97322</v>
      </c>
      <c r="E15" s="12">
        <f>E12+E13+E14</f>
        <v>40151.935128999998</v>
      </c>
      <c r="F15" s="12">
        <f>F12+F13+F14</f>
        <v>47642.871061999998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7"/>
  <sheetViews>
    <sheetView workbookViewId="0">
      <pane ySplit="2" topLeftCell="A3" activePane="bottomLeft" state="frozen"/>
      <selection pane="bottomLeft"/>
    </sheetView>
  </sheetViews>
  <sheetFormatPr defaultRowHeight="16.5" x14ac:dyDescent="0.3"/>
  <cols>
    <col min="1" max="1" width="14" customWidth="1"/>
    <col min="2" max="2" width="36" customWidth="1"/>
    <col min="3" max="3" width="20" customWidth="1"/>
    <col min="4" max="4" width="40" customWidth="1"/>
  </cols>
  <sheetData>
    <row r="1" spans="1:4" ht="24" customHeight="1" x14ac:dyDescent="0.3">
      <c r="A1" s="33" t="s">
        <v>21</v>
      </c>
      <c r="B1" s="34"/>
      <c r="C1" s="34"/>
      <c r="D1" s="13" t="s">
        <v>22</v>
      </c>
    </row>
    <row r="2" spans="1:4" ht="6" customHeight="1" x14ac:dyDescent="0.3"/>
    <row r="3" spans="1:4" x14ac:dyDescent="0.3">
      <c r="A3" s="39" t="s">
        <v>23</v>
      </c>
      <c r="B3" s="40"/>
      <c r="C3" s="40"/>
      <c r="D3" s="40"/>
    </row>
    <row r="4" spans="1:4" x14ac:dyDescent="0.3">
      <c r="A4" s="14" t="s">
        <v>24</v>
      </c>
      <c r="B4" s="14" t="s">
        <v>25</v>
      </c>
      <c r="C4" s="14" t="s">
        <v>26</v>
      </c>
      <c r="D4" s="14" t="s">
        <v>27</v>
      </c>
    </row>
    <row r="5" spans="1:4" x14ac:dyDescent="0.3">
      <c r="A5" s="15" t="s">
        <v>28</v>
      </c>
      <c r="B5" s="6" t="s">
        <v>29</v>
      </c>
      <c r="C5" s="7">
        <f>SUMIFS(Raw_Data!$G:$G,Raw_Data!$AG:$AG,"Amazon",Raw_Data!$AH:$AH,"1월",Raw_Data!$AE:$AE,"게임매출",Raw_Data!$AF:$AF,"모바일")</f>
        <v>2109600</v>
      </c>
      <c r="D5" s="6"/>
    </row>
    <row r="6" spans="1:4" x14ac:dyDescent="0.3">
      <c r="A6" s="16" t="s">
        <v>28</v>
      </c>
      <c r="B6" s="4" t="s">
        <v>15</v>
      </c>
      <c r="C6" s="5">
        <f>SUMIFS(Raw_Data!$G:$G,Raw_Data!$AG:$AG,"Beijing Raymobile",Raw_Data!$AH:$AH,"1월",Raw_Data!$AE:$AE,"게임매출",Raw_Data!$AF:$AF,"모바일")</f>
        <v>772262657</v>
      </c>
      <c r="D6" s="4"/>
    </row>
    <row r="7" spans="1:4" x14ac:dyDescent="0.3">
      <c r="A7" s="15" t="s">
        <v>28</v>
      </c>
      <c r="B7" s="6" t="s">
        <v>13</v>
      </c>
      <c r="C7" s="7">
        <f>SUMIFS(Raw_Data!$G:$G,Raw_Data!$AG:$AG,"Huawei",Raw_Data!$AH:$AH,"1월",Raw_Data!$AE:$AE,"게임매출",Raw_Data!$AF:$AF,"모바일")</f>
        <v>973263687</v>
      </c>
      <c r="D7" s="6"/>
    </row>
    <row r="8" spans="1:4" x14ac:dyDescent="0.3">
      <c r="A8" s="16" t="s">
        <v>28</v>
      </c>
      <c r="B8" s="4" t="s">
        <v>30</v>
      </c>
      <c r="C8" s="5">
        <f>SUMIFS(Raw_Data!$G:$G,Raw_Data!$AG:$AG,"Red River",Raw_Data!$AH:$AH,"1월",Raw_Data!$AE:$AE,"게임매출",Raw_Data!$AF:$AF,"모바일")</f>
        <v>61304768</v>
      </c>
      <c r="D8" s="4"/>
    </row>
    <row r="9" spans="1:4" x14ac:dyDescent="0.3">
      <c r="A9" s="15" t="s">
        <v>28</v>
      </c>
      <c r="B9" s="6" t="s">
        <v>31</v>
      </c>
      <c r="C9" s="7">
        <f>SUMIFS(Raw_Data!$G:$G,Raw_Data!$AG:$AG,"Xsolla",Raw_Data!$AH:$AH,"1월",Raw_Data!$AE:$AE,"게임매출",Raw_Data!$AF:$AF,"모바일")</f>
        <v>18235403</v>
      </c>
      <c r="D9" s="6"/>
    </row>
    <row r="10" spans="1:4" x14ac:dyDescent="0.3">
      <c r="A10" s="16" t="s">
        <v>28</v>
      </c>
      <c r="B10" s="4" t="s">
        <v>10</v>
      </c>
      <c r="C10" s="5">
        <f>SUMIFS(Raw_Data!$G:$G,Raw_Data!$AG:$AG,"구글",Raw_Data!$AH:$AH,"1월",Raw_Data!$AE:$AE,"게임매출",Raw_Data!$AF:$AF,"모바일")</f>
        <v>13448647565</v>
      </c>
      <c r="D10" s="4"/>
    </row>
    <row r="11" spans="1:4" x14ac:dyDescent="0.3">
      <c r="A11" s="15" t="s">
        <v>28</v>
      </c>
      <c r="B11" s="6" t="s">
        <v>32</v>
      </c>
      <c r="C11" s="7">
        <f>SUMIFS(Raw_Data!$G:$G,Raw_Data!$AG:$AG,"밸로프",Raw_Data!$AH:$AH,"1월",Raw_Data!$AE:$AE,"게임매출",Raw_Data!$AF:$AF,"모바일")</f>
        <v>1510368</v>
      </c>
      <c r="D11" s="6"/>
    </row>
    <row r="12" spans="1:4" x14ac:dyDescent="0.3">
      <c r="A12" s="16" t="s">
        <v>28</v>
      </c>
      <c r="B12" s="4" t="s">
        <v>33</v>
      </c>
      <c r="C12" s="5">
        <f>SUMIFS(Raw_Data!$G:$G,Raw_Data!$AG:$AG,"비바리퍼블리카",Raw_Data!$AH:$AH,"1월",Raw_Data!$AE:$AE,"게임매출",Raw_Data!$AF:$AF,"모바일")</f>
        <v>478182</v>
      </c>
      <c r="D12" s="4"/>
    </row>
    <row r="13" spans="1:4" x14ac:dyDescent="0.3">
      <c r="A13" s="15" t="s">
        <v>28</v>
      </c>
      <c r="B13" s="6" t="s">
        <v>9</v>
      </c>
      <c r="C13" s="7">
        <f>SUMIFS(Raw_Data!$G:$G,Raw_Data!$AG:$AG,"애플",Raw_Data!$AH:$AH,"1월",Raw_Data!$AE:$AE,"게임매출",Raw_Data!$AF:$AF,"모바일")</f>
        <v>16546201961</v>
      </c>
      <c r="D13" s="6"/>
    </row>
    <row r="14" spans="1:4" x14ac:dyDescent="0.3">
      <c r="A14" s="16" t="s">
        <v>28</v>
      </c>
      <c r="B14" s="4" t="s">
        <v>11</v>
      </c>
      <c r="C14" s="5">
        <f>SUMIFS(Raw_Data!$G:$G,Raw_Data!$AG:$AG,"원스토어",Raw_Data!$AH:$AH,"1월",Raw_Data!$AE:$AE,"게임매출",Raw_Data!$AF:$AF,"모바일")</f>
        <v>4431680760</v>
      </c>
      <c r="D14" s="4" t="s">
        <v>34</v>
      </c>
    </row>
    <row r="15" spans="1:4" x14ac:dyDescent="0.3">
      <c r="A15" s="15" t="s">
        <v>28</v>
      </c>
      <c r="B15" s="6" t="s">
        <v>35</v>
      </c>
      <c r="C15" s="7">
        <f>SUMIFS(Raw_Data!$G:$G,Raw_Data!$AG:$AG,"컴투스(수익이연)",Raw_Data!$AH:$AH,"1월",Raw_Data!$AE:$AE,"게임매출",Raw_Data!$AF:$AF,"모바일")</f>
        <v>0</v>
      </c>
      <c r="D15" s="6"/>
    </row>
    <row r="16" spans="1:4" x14ac:dyDescent="0.3">
      <c r="A16" s="16" t="s">
        <v>28</v>
      </c>
      <c r="B16" s="4" t="s">
        <v>36</v>
      </c>
      <c r="C16" s="5">
        <f>SUMIFS(Raw_Data!$G:$G,Raw_Data!$AG:$AG,"컴투스플랫폼",Raw_Data!$AH:$AH,"1월",Raw_Data!$AE:$AE,"게임매출",Raw_Data!$AF:$AF,"모바일")</f>
        <v>0</v>
      </c>
      <c r="D16" s="4"/>
    </row>
    <row r="17" spans="1:4" x14ac:dyDescent="0.3">
      <c r="A17" s="15" t="s">
        <v>28</v>
      </c>
      <c r="B17" s="6" t="s">
        <v>37</v>
      </c>
      <c r="C17" s="7">
        <f>SUMIFS(Raw_Data!$G:$G,Raw_Data!$AG:$AG,"컴투스홀딩스",Raw_Data!$AH:$AH,"1월",Raw_Data!$AE:$AE,"게임매출",Raw_Data!$AF:$AF,"모바일")</f>
        <v>35347414</v>
      </c>
      <c r="D17" s="6"/>
    </row>
    <row r="18" spans="1:4" x14ac:dyDescent="0.3">
      <c r="A18" s="16" t="s">
        <v>38</v>
      </c>
      <c r="B18" s="4" t="s">
        <v>14</v>
      </c>
      <c r="C18" s="5">
        <f>SUMIFS(Raw_Data!$G:$G,Raw_Data!$AG:$AG,"NHN",Raw_Data!$AH:$AH,"1월",Raw_Data!$AE:$AE,"게임매출",Raw_Data!$AF:$AF,"온라인")</f>
        <v>1176783913</v>
      </c>
      <c r="D18" s="4"/>
    </row>
    <row r="19" spans="1:4" x14ac:dyDescent="0.3">
      <c r="A19" s="15" t="s">
        <v>38</v>
      </c>
      <c r="B19" s="6" t="s">
        <v>39</v>
      </c>
      <c r="C19" s="7">
        <f>SUMIFS(Raw_Data!$G:$G,Raw_Data!$AG:$AG,"Paypal",Raw_Data!$AH:$AH,"1월",Raw_Data!$AE:$AE,"게임매출",Raw_Data!$AF:$AF,"온라인")</f>
        <v>582427</v>
      </c>
      <c r="D19" s="6"/>
    </row>
    <row r="20" spans="1:4" x14ac:dyDescent="0.3">
      <c r="A20" s="16" t="s">
        <v>38</v>
      </c>
      <c r="B20" s="4" t="s">
        <v>40</v>
      </c>
      <c r="C20" s="5">
        <f>SUMIFS(Raw_Data!$G:$G,Raw_Data!$AG:$AG,"SOFT-WORLD",Raw_Data!$AH:$AH,"1월",Raw_Data!$AE:$AE,"게임매출",Raw_Data!$AF:$AF,"온라인")</f>
        <v>19795399</v>
      </c>
      <c r="D20" s="4" t="s">
        <v>41</v>
      </c>
    </row>
    <row r="21" spans="1:4" x14ac:dyDescent="0.3">
      <c r="A21" s="15" t="s">
        <v>38</v>
      </c>
      <c r="B21" s="6" t="s">
        <v>42</v>
      </c>
      <c r="C21" s="7">
        <f>SUMIFS(Raw_Data!$G:$G,Raw_Data!$AG:$AG,"Terminal3",Raw_Data!$AH:$AH,"1월",Raw_Data!$AE:$AE,"게임매출",Raw_Data!$AF:$AF,"온라인")</f>
        <v>9837996</v>
      </c>
      <c r="D21" s="6"/>
    </row>
    <row r="22" spans="1:4" x14ac:dyDescent="0.3">
      <c r="A22" s="16" t="s">
        <v>38</v>
      </c>
      <c r="B22" s="4" t="s">
        <v>12</v>
      </c>
      <c r="C22" s="5">
        <f>SUMIFS(Raw_Data!$G:$G,Raw_Data!$AG:$AG,"Valve",Raw_Data!$AH:$AH,"1월",Raw_Data!$AE:$AE,"게임매출",Raw_Data!$AF:$AF,"온라인")</f>
        <v>1414892374</v>
      </c>
      <c r="D22" s="4"/>
    </row>
    <row r="23" spans="1:4" x14ac:dyDescent="0.3">
      <c r="A23" s="15" t="s">
        <v>38</v>
      </c>
      <c r="B23" s="6" t="s">
        <v>43</v>
      </c>
      <c r="C23" s="7">
        <f>SUMIFS(Raw_Data!$G:$G,Raw_Data!$AG:$AG,"네이버파이낸셜",Raw_Data!$AH:$AH,"1월",Raw_Data!$AE:$AE,"게임매출",Raw_Data!$AF:$AF,"온라인")</f>
        <v>793948548</v>
      </c>
      <c r="D23" s="6"/>
    </row>
    <row r="24" spans="1:4" x14ac:dyDescent="0.3">
      <c r="A24" s="16" t="s">
        <v>38</v>
      </c>
      <c r="B24" s="4" t="s">
        <v>44</v>
      </c>
      <c r="C24" s="5">
        <f>SUMIFS(Raw_Data!$G:$G,Raw_Data!$AG:$AG,"토스페이먼츠",Raw_Data!$AH:$AH,"1월",Raw_Data!$AE:$AE,"게임매출",Raw_Data!$AF:$AF,"온라인")</f>
        <v>219536364</v>
      </c>
      <c r="D24" s="4"/>
    </row>
    <row r="25" spans="1:4" x14ac:dyDescent="0.3">
      <c r="A25" s="15" t="s">
        <v>45</v>
      </c>
      <c r="B25" s="6" t="s">
        <v>46</v>
      </c>
      <c r="C25" s="7">
        <f>SUMIFS(Raw_Data!$G:$G,Raw_Data!$AG:$AG,"Admob",Raw_Data!$AH:$AH,"1월",Raw_Data!$AE:$AE,"게임매출",Raw_Data!$AF:$AF,"광고")</f>
        <v>44</v>
      </c>
      <c r="D25" s="6"/>
    </row>
    <row r="26" spans="1:4" x14ac:dyDescent="0.3">
      <c r="A26" s="16" t="s">
        <v>45</v>
      </c>
      <c r="B26" s="4" t="s">
        <v>47</v>
      </c>
      <c r="C26" s="5">
        <f>SUMIFS(Raw_Data!$G:$G,Raw_Data!$AG:$AG,"Facebook",Raw_Data!$AH:$AH,"1월",Raw_Data!$AE:$AE,"게임매출",Raw_Data!$AF:$AF,"광고")</f>
        <v>15729274</v>
      </c>
      <c r="D26" s="4"/>
    </row>
    <row r="27" spans="1:4" x14ac:dyDescent="0.3">
      <c r="A27" s="15" t="s">
        <v>45</v>
      </c>
      <c r="B27" s="6" t="s">
        <v>48</v>
      </c>
      <c r="C27" s="7">
        <f>SUMIFS(Raw_Data!$G:$G,Raw_Data!$AG:$AG,"Line",Raw_Data!$AH:$AH,"1월",Raw_Data!$AE:$AE,"게임매출",Raw_Data!$AF:$AF,"광고")</f>
        <v>6795</v>
      </c>
      <c r="D27" s="6"/>
    </row>
    <row r="28" spans="1:4" x14ac:dyDescent="0.3">
      <c r="A28" s="16" t="s">
        <v>45</v>
      </c>
      <c r="B28" s="4" t="s">
        <v>49</v>
      </c>
      <c r="C28" s="5">
        <f>SUMIFS(Raw_Data!$G:$G,Raw_Data!$AG:$AG,"넵튠",Raw_Data!$AH:$AH,"1월",Raw_Data!$AE:$AE,"게임매출",Raw_Data!$AF:$AF,"광고")</f>
        <v>85697519</v>
      </c>
      <c r="D28" s="4" t="s">
        <v>50</v>
      </c>
    </row>
    <row r="29" spans="1:4" x14ac:dyDescent="0.3">
      <c r="A29" s="15" t="s">
        <v>45</v>
      </c>
      <c r="B29" s="6" t="s">
        <v>51</v>
      </c>
      <c r="C29" s="7">
        <f>SUMIFS(Raw_Data!$G:$G,Raw_Data!$AG:$AG,"원스토어(광고)",Raw_Data!$AH:$AH,"1월",Raw_Data!$AE:$AE,"게임매출",Raw_Data!$AF:$AF,"광고")</f>
        <v>117693060</v>
      </c>
      <c r="D29" s="6" t="s">
        <v>52</v>
      </c>
    </row>
    <row r="30" spans="1:4" x14ac:dyDescent="0.3">
      <c r="A30" s="16" t="s">
        <v>53</v>
      </c>
      <c r="B30" s="4" t="s">
        <v>53</v>
      </c>
      <c r="C30" s="5">
        <f>SUMIFS(Raw_Data!$G:$G,Raw_Data!$AG:$AG,"OOTP",Raw_Data!$AH:$AH,"1월",Raw_Data!$AE:$AE,"게임매출",Raw_Data!$AF:$AF,"OOTP")</f>
        <v>1534725</v>
      </c>
      <c r="D30" s="4" t="s">
        <v>54</v>
      </c>
    </row>
    <row r="31" spans="1:4" x14ac:dyDescent="0.3">
      <c r="A31" s="8" t="s">
        <v>55</v>
      </c>
      <c r="B31" s="17"/>
      <c r="C31" s="9">
        <f>SUM(C5:C17)</f>
        <v>36291042365</v>
      </c>
      <c r="D31" s="17"/>
    </row>
    <row r="32" spans="1:4" x14ac:dyDescent="0.3">
      <c r="A32" s="8" t="s">
        <v>56</v>
      </c>
      <c r="B32" s="17"/>
      <c r="C32" s="9">
        <f>SUM(C18:C24)</f>
        <v>3635377021</v>
      </c>
      <c r="D32" s="17"/>
    </row>
    <row r="33" spans="1:4" x14ac:dyDescent="0.3">
      <c r="A33" s="8" t="s">
        <v>57</v>
      </c>
      <c r="B33" s="17"/>
      <c r="C33" s="9">
        <f>SUM(C25:C29)</f>
        <v>219126692</v>
      </c>
      <c r="D33" s="17"/>
    </row>
    <row r="34" spans="1:4" x14ac:dyDescent="0.3">
      <c r="A34" s="8" t="s">
        <v>58</v>
      </c>
      <c r="B34" s="17"/>
      <c r="C34" s="9">
        <f>SUM(C30:C30)</f>
        <v>1534725</v>
      </c>
      <c r="D34" s="17"/>
    </row>
    <row r="35" spans="1:4" x14ac:dyDescent="0.3">
      <c r="A35" s="8" t="s">
        <v>59</v>
      </c>
      <c r="B35" s="17"/>
      <c r="C35" s="9">
        <f>C31+C32+C33+C34</f>
        <v>40147080803</v>
      </c>
      <c r="D35" s="18"/>
    </row>
    <row r="37" spans="1:4" x14ac:dyDescent="0.3">
      <c r="A37" s="35" t="s">
        <v>60</v>
      </c>
      <c r="B37" s="36"/>
      <c r="C37" s="36"/>
      <c r="D37" s="36"/>
    </row>
    <row r="38" spans="1:4" x14ac:dyDescent="0.3">
      <c r="A38" s="14" t="s">
        <v>24</v>
      </c>
      <c r="B38" s="14" t="s">
        <v>25</v>
      </c>
      <c r="C38" s="14" t="s">
        <v>26</v>
      </c>
      <c r="D38" s="14" t="s">
        <v>27</v>
      </c>
    </row>
    <row r="39" spans="1:4" x14ac:dyDescent="0.3">
      <c r="A39" s="15" t="s">
        <v>61</v>
      </c>
      <c r="B39" s="6" t="s">
        <v>62</v>
      </c>
      <c r="C39" s="7">
        <f>SUMIFS(Raw_Data!$G:$G,Raw_Data!$AG:$AG,"Moye Technology",Raw_Data!$AH:$AH,"1월",Raw_Data!$AE:$AE,"기타수익",Raw_Data!$AF:$AF,"로열티수익")</f>
        <v>0</v>
      </c>
      <c r="D39" s="6"/>
    </row>
    <row r="40" spans="1:4" x14ac:dyDescent="0.3">
      <c r="A40" s="16" t="s">
        <v>61</v>
      </c>
      <c r="B40" s="4" t="s">
        <v>63</v>
      </c>
      <c r="C40" s="5">
        <f>SUMIFS(Raw_Data!$G:$G,Raw_Data!$AG:$AG,"OOTP(로열티)",Raw_Data!$AH:$AH,"1월",Raw_Data!$AE:$AE,"기타수익",Raw_Data!$AF:$AF,"로열티수익")</f>
        <v>0</v>
      </c>
      <c r="D40" s="4"/>
    </row>
    <row r="41" spans="1:4" x14ac:dyDescent="0.3">
      <c r="A41" s="15" t="s">
        <v>61</v>
      </c>
      <c r="B41" s="6" t="s">
        <v>64</v>
      </c>
      <c r="C41" s="7">
        <f>SUMIFS(Raw_Data!$G:$G,Raw_Data!$AG:$AG,"Skybound",Raw_Data!$AH:$AH,"1월",Raw_Data!$AE:$AE,"기타수익",Raw_Data!$AF:$AF,"로열티수익")</f>
        <v>0</v>
      </c>
      <c r="D41" s="6"/>
    </row>
    <row r="42" spans="1:4" x14ac:dyDescent="0.3">
      <c r="A42" s="16" t="s">
        <v>61</v>
      </c>
      <c r="B42" s="4" t="s">
        <v>65</v>
      </c>
      <c r="C42" s="5">
        <f>SUMIFS(Raw_Data!$G:$G,Raw_Data!$AG:$AG,"공게임즈",Raw_Data!$AH:$AH,"1월",Raw_Data!$AE:$AE,"기타수익",Raw_Data!$AF:$AF,"로열티수익")</f>
        <v>989829</v>
      </c>
      <c r="D42" s="4"/>
    </row>
    <row r="43" spans="1:4" x14ac:dyDescent="0.3">
      <c r="A43" s="15" t="s">
        <v>61</v>
      </c>
      <c r="B43" s="6" t="s">
        <v>66</v>
      </c>
      <c r="C43" s="7">
        <f>SUMIFS(Raw_Data!$G:$G,Raw_Data!$AG:$AG,"네오위즈스포츠",Raw_Data!$AH:$AH,"1월",Raw_Data!$AE:$AE,"기타수익",Raw_Data!$AF:$AF,"로열티수익")</f>
        <v>0</v>
      </c>
      <c r="D43" s="6"/>
    </row>
    <row r="44" spans="1:4" x14ac:dyDescent="0.3">
      <c r="A44" s="16" t="s">
        <v>61</v>
      </c>
      <c r="B44" s="4" t="s">
        <v>67</v>
      </c>
      <c r="C44" s="5">
        <f>SUMIFS(Raw_Data!$G:$G,Raw_Data!$AG:$AG,"밸로프(로열티)",Raw_Data!$AH:$AH,"1월",Raw_Data!$AE:$AE,"기타수익",Raw_Data!$AF:$AF,"로열티수익")</f>
        <v>0</v>
      </c>
      <c r="D44" s="4"/>
    </row>
    <row r="45" spans="1:4" x14ac:dyDescent="0.3">
      <c r="A45" s="15" t="s">
        <v>61</v>
      </c>
      <c r="B45" s="6" t="s">
        <v>68</v>
      </c>
      <c r="C45" s="7">
        <f>SUMIFS(Raw_Data!$G:$G,Raw_Data!$AG:$AG,"에이스프로젝트",Raw_Data!$AH:$AH,"1월",Raw_Data!$AE:$AE,"기타수익",Raw_Data!$AF:$AF,"로열티수익")</f>
        <v>-80200</v>
      </c>
      <c r="D45" s="6"/>
    </row>
    <row r="46" spans="1:4" x14ac:dyDescent="0.3">
      <c r="A46" s="16" t="s">
        <v>61</v>
      </c>
      <c r="B46" s="4" t="s">
        <v>69</v>
      </c>
      <c r="C46" s="5">
        <f>SUMIFS(Raw_Data!$G:$G,Raw_Data!$AG:$AG,"위메이드",Raw_Data!$AH:$AH,"1월",Raw_Data!$AE:$AE,"기타수익",Raw_Data!$AF:$AF,"로열티수익")</f>
        <v>0</v>
      </c>
      <c r="D46" s="4"/>
    </row>
    <row r="47" spans="1:4" x14ac:dyDescent="0.3">
      <c r="A47" s="15" t="s">
        <v>61</v>
      </c>
      <c r="B47" s="6" t="s">
        <v>70</v>
      </c>
      <c r="C47" s="7">
        <f>SUMIFS(Raw_Data!$G:$G,Raw_Data!$AG:$AG,"케나즈",Raw_Data!$AH:$AH,"1월",Raw_Data!$AE:$AE,"기타수익",Raw_Data!$AF:$AF,"로열티수익")</f>
        <v>0</v>
      </c>
      <c r="D47" s="6"/>
    </row>
    <row r="48" spans="1:4" x14ac:dyDescent="0.3">
      <c r="A48" s="16" t="s">
        <v>61</v>
      </c>
      <c r="B48" s="4" t="s">
        <v>71</v>
      </c>
      <c r="C48" s="5">
        <f>SUMIFS(Raw_Data!$G:$G,Raw_Data!$AG:$AG,"해긴",Raw_Data!$AH:$AH,"1월",Raw_Data!$AE:$AE,"기타수익",Raw_Data!$AF:$AF,"로열티수익")</f>
        <v>0</v>
      </c>
      <c r="D48" s="4"/>
    </row>
    <row r="49" spans="1:4" x14ac:dyDescent="0.3">
      <c r="A49" s="15" t="s">
        <v>16</v>
      </c>
      <c r="B49" s="6" t="s">
        <v>72</v>
      </c>
      <c r="C49" s="7">
        <f>SUMIFS(Raw_Data!$G:$G,Raw_Data!$AG:$AG,"CJ올리브영",Raw_Data!$AH:$AH,"1월",Raw_Data!$AE:$AE,"기타수익",Raw_Data!$AF:$AF,"기타")</f>
        <v>0</v>
      </c>
      <c r="D49" s="6"/>
    </row>
    <row r="50" spans="1:4" x14ac:dyDescent="0.3">
      <c r="A50" s="16" t="s">
        <v>16</v>
      </c>
      <c r="B50" s="4" t="s">
        <v>73</v>
      </c>
      <c r="C50" s="5">
        <f>SUMIFS(Raw_Data!$G:$G,Raw_Data!$AG:$AG,"MetaMagnet",Raw_Data!$AH:$AH,"1월",Raw_Data!$AE:$AE,"기타수익",Raw_Data!$AF:$AF,"기타")</f>
        <v>0</v>
      </c>
      <c r="D50" s="4"/>
    </row>
    <row r="51" spans="1:4" x14ac:dyDescent="0.3">
      <c r="A51" s="15" t="s">
        <v>16</v>
      </c>
      <c r="B51" s="6" t="s">
        <v>74</v>
      </c>
      <c r="C51" s="7">
        <f>SUMIFS(Raw_Data!$G:$G,Raw_Data!$AG:$AG,"OASYS",Raw_Data!$AH:$AH,"1월",Raw_Data!$AE:$AE,"기타수익",Raw_Data!$AF:$AF,"기타")</f>
        <v>0</v>
      </c>
      <c r="D51" s="6"/>
    </row>
    <row r="52" spans="1:4" x14ac:dyDescent="0.3">
      <c r="A52" s="16" t="s">
        <v>16</v>
      </c>
      <c r="B52" s="4" t="s">
        <v>75</v>
      </c>
      <c r="C52" s="5">
        <f>SUMIFS(Raw_Data!$G:$G,Raw_Data!$AG:$AG,"SBTM",Raw_Data!$AH:$AH,"1월",Raw_Data!$AE:$AE,"기타수익",Raw_Data!$AF:$AF,"기타")</f>
        <v>0</v>
      </c>
      <c r="D52" s="4"/>
    </row>
    <row r="53" spans="1:4" x14ac:dyDescent="0.3">
      <c r="A53" s="15" t="s">
        <v>16</v>
      </c>
      <c r="B53" s="6" t="s">
        <v>76</v>
      </c>
      <c r="C53" s="7">
        <f>SUMIFS(Raw_Data!$G:$G,Raw_Data!$AG:$AG,"게임테일즈",Raw_Data!$AH:$AH,"1월",Raw_Data!$AE:$AE,"기타수익",Raw_Data!$AF:$AF,"기타")</f>
        <v>0</v>
      </c>
      <c r="D53" s="6"/>
    </row>
    <row r="54" spans="1:4" x14ac:dyDescent="0.3">
      <c r="A54" s="16" t="s">
        <v>16</v>
      </c>
      <c r="B54" s="4" t="s">
        <v>77</v>
      </c>
      <c r="C54" s="5">
        <f>SUMIFS(Raw_Data!$G:$G,Raw_Data!$AG:$AG,"넷마블(기타)",Raw_Data!$AH:$AH,"1월",Raw_Data!$AE:$AE,"기타수익",Raw_Data!$AF:$AF,"기타")</f>
        <v>-367497</v>
      </c>
      <c r="D54" s="4"/>
    </row>
    <row r="55" spans="1:4" x14ac:dyDescent="0.3">
      <c r="A55" s="15" t="s">
        <v>16</v>
      </c>
      <c r="B55" s="6" t="s">
        <v>78</v>
      </c>
      <c r="C55" s="7">
        <f>SUMIFS(Raw_Data!$G:$G,Raw_Data!$AG:$AG,"데이세븐(기타)",Raw_Data!$AH:$AH,"1월",Raw_Data!$AE:$AE,"기타수익",Raw_Data!$AF:$AF,"기타")</f>
        <v>175000</v>
      </c>
      <c r="D55" s="6" t="s">
        <v>79</v>
      </c>
    </row>
    <row r="56" spans="1:4" x14ac:dyDescent="0.3">
      <c r="A56" s="16" t="s">
        <v>16</v>
      </c>
      <c r="B56" s="4" t="s">
        <v>80</v>
      </c>
      <c r="C56" s="5">
        <f>SUMIFS(Raw_Data!$G:$G,Raw_Data!$AG:$AG,"링티",Raw_Data!$AH:$AH,"1월",Raw_Data!$AE:$AE,"기타수익",Raw_Data!$AF:$AF,"기타")</f>
        <v>0</v>
      </c>
      <c r="D56" s="4"/>
    </row>
    <row r="57" spans="1:4" x14ac:dyDescent="0.3">
      <c r="A57" s="15" t="s">
        <v>16</v>
      </c>
      <c r="B57" s="6" t="s">
        <v>81</v>
      </c>
      <c r="C57" s="7">
        <f>SUMIFS(Raw_Data!$G:$G,Raw_Data!$AG:$AG,"비즈마켓",Raw_Data!$AH:$AH,"1월",Raw_Data!$AE:$AE,"기타수익",Raw_Data!$AF:$AF,"기타")</f>
        <v>0</v>
      </c>
      <c r="D57" s="6"/>
    </row>
    <row r="58" spans="1:4" x14ac:dyDescent="0.3">
      <c r="A58" s="16" t="s">
        <v>16</v>
      </c>
      <c r="B58" s="4" t="s">
        <v>82</v>
      </c>
      <c r="C58" s="5">
        <f>SUMIFS(Raw_Data!$G:$G,Raw_Data!$AG:$AG,"삼성화재",Raw_Data!$AH:$AH,"1월",Raw_Data!$AE:$AE,"기타수익",Raw_Data!$AF:$AF,"기타")</f>
        <v>0</v>
      </c>
      <c r="D58" s="4"/>
    </row>
    <row r="59" spans="1:4" x14ac:dyDescent="0.3">
      <c r="A59" s="15" t="s">
        <v>16</v>
      </c>
      <c r="B59" s="6" t="s">
        <v>83</v>
      </c>
      <c r="C59" s="7">
        <f>SUMIFS(Raw_Data!$G:$G,Raw_Data!$AG:$AG,"에스비에스콘텐츠허브",Raw_Data!$AH:$AH,"1월",Raw_Data!$AE:$AE,"기타수익",Raw_Data!$AF:$AF,"기타")</f>
        <v>121442</v>
      </c>
      <c r="D59" s="6" t="s">
        <v>84</v>
      </c>
    </row>
    <row r="60" spans="1:4" x14ac:dyDescent="0.3">
      <c r="A60" s="16" t="s">
        <v>16</v>
      </c>
      <c r="B60" s="4" t="s">
        <v>85</v>
      </c>
      <c r="C60" s="5">
        <f>SUMIFS(Raw_Data!$G:$G,Raw_Data!$AG:$AG,"오내피플",Raw_Data!$AH:$AH,"1월",Raw_Data!$AE:$AE,"기타수익",Raw_Data!$AF:$AF,"기타")</f>
        <v>0</v>
      </c>
      <c r="D60" s="4"/>
    </row>
    <row r="61" spans="1:4" x14ac:dyDescent="0.3">
      <c r="A61" s="15" t="s">
        <v>16</v>
      </c>
      <c r="B61" s="6" t="s">
        <v>86</v>
      </c>
      <c r="C61" s="7">
        <f>SUMIFS(Raw_Data!$G:$G,Raw_Data!$AG:$AG,"인케이코리아",Raw_Data!$AH:$AH,"1월",Raw_Data!$AE:$AE,"기타수익",Raw_Data!$AF:$AF,"기타")</f>
        <v>0</v>
      </c>
      <c r="D61" s="6"/>
    </row>
    <row r="62" spans="1:4" x14ac:dyDescent="0.3">
      <c r="A62" s="16" t="s">
        <v>16</v>
      </c>
      <c r="B62" s="4" t="s">
        <v>87</v>
      </c>
      <c r="C62" s="5">
        <f>SUMIFS(Raw_Data!$G:$G,Raw_Data!$AG:$AG,"카탈리스터(기타)",Raw_Data!$AH:$AH,"1월",Raw_Data!$AE:$AE,"기타수익",Raw_Data!$AF:$AF,"기타")</f>
        <v>967903</v>
      </c>
      <c r="D62" s="4" t="s">
        <v>88</v>
      </c>
    </row>
    <row r="63" spans="1:4" x14ac:dyDescent="0.3">
      <c r="A63" s="15" t="s">
        <v>16</v>
      </c>
      <c r="B63" s="6" t="s">
        <v>89</v>
      </c>
      <c r="C63" s="7">
        <f>SUMIFS(Raw_Data!$G:$G,Raw_Data!$AG:$AG,"컴투스로카(기타)",Raw_Data!$AH:$AH,"1월",Raw_Data!$AE:$AE,"기타수익",Raw_Data!$AF:$AF,"기타")</f>
        <v>0</v>
      </c>
      <c r="D63" s="6"/>
    </row>
    <row r="64" spans="1:4" x14ac:dyDescent="0.3">
      <c r="A64" s="16" t="s">
        <v>16</v>
      </c>
      <c r="B64" s="4" t="s">
        <v>90</v>
      </c>
      <c r="C64" s="5">
        <f>SUMIFS(Raw_Data!$G:$G,Raw_Data!$AG:$AG,"컴투스플랫폼(기타)",Raw_Data!$AH:$AH,"1월",Raw_Data!$AE:$AE,"기타수익",Raw_Data!$AF:$AF,"기타")</f>
        <v>45910758</v>
      </c>
      <c r="D64" s="4" t="s">
        <v>91</v>
      </c>
    </row>
    <row r="65" spans="1:4" x14ac:dyDescent="0.3">
      <c r="A65" s="15" t="s">
        <v>16</v>
      </c>
      <c r="B65" s="6" t="s">
        <v>92</v>
      </c>
      <c r="C65" s="7">
        <f>SUMIFS(Raw_Data!$G:$G,Raw_Data!$AG:$AG,"컴투스홀딩스(기타)",Raw_Data!$AH:$AH,"1월",Raw_Data!$AE:$AE,"기타수익",Raw_Data!$AF:$AF,"기타")</f>
        <v>49452909</v>
      </c>
      <c r="D65" s="6" t="s">
        <v>93</v>
      </c>
    </row>
    <row r="66" spans="1:4" x14ac:dyDescent="0.3">
      <c r="A66" s="16" t="s">
        <v>16</v>
      </c>
      <c r="B66" s="4" t="s">
        <v>94</v>
      </c>
      <c r="C66" s="5">
        <f>SUMIFS(Raw_Data!$G:$G,Raw_Data!$AG:$AG,"하이브로",Raw_Data!$AH:$AH,"1월",Raw_Data!$AE:$AE,"기타수익",Raw_Data!$AF:$AF,"기타")</f>
        <v>33965536</v>
      </c>
      <c r="D66" s="4" t="s">
        <v>95</v>
      </c>
    </row>
    <row r="67" spans="1:4" x14ac:dyDescent="0.3">
      <c r="A67" s="15" t="s">
        <v>16</v>
      </c>
      <c r="B67" s="6" t="s">
        <v>96</v>
      </c>
      <c r="C67" s="7">
        <f>SUMIFS(Raw_Data!$G:$G,Raw_Data!$AG:$AG,"한국문화진흥",Raw_Data!$AH:$AH,"1월",Raw_Data!$AE:$AE,"기타수익",Raw_Data!$AF:$AF,"기타")</f>
        <v>0</v>
      </c>
      <c r="D67" s="6"/>
    </row>
    <row r="68" spans="1:4" x14ac:dyDescent="0.3">
      <c r="A68" s="19" t="s">
        <v>97</v>
      </c>
      <c r="B68" s="20"/>
      <c r="C68" s="21">
        <f>SUM(C39:C48,C49:C67)</f>
        <v>131135680</v>
      </c>
      <c r="D68" s="22"/>
    </row>
    <row r="70" spans="1:4" x14ac:dyDescent="0.3">
      <c r="A70" s="37" t="s">
        <v>98</v>
      </c>
      <c r="B70" s="38"/>
      <c r="C70" s="38"/>
      <c r="D70" s="38"/>
    </row>
    <row r="71" spans="1:4" x14ac:dyDescent="0.3">
      <c r="A71" s="14" t="s">
        <v>24</v>
      </c>
      <c r="B71" s="14" t="s">
        <v>25</v>
      </c>
      <c r="C71" s="14" t="s">
        <v>26</v>
      </c>
      <c r="D71" s="14" t="s">
        <v>27</v>
      </c>
    </row>
    <row r="72" spans="1:4" x14ac:dyDescent="0.3">
      <c r="A72" s="16" t="s">
        <v>99</v>
      </c>
      <c r="B72" s="4" t="s">
        <v>100</v>
      </c>
      <c r="C72" s="5">
        <f>SUMIFS(Raw_Data!$G:$G,Raw_Data!$AG:$AG,"Com2uS Europe",Raw_Data!$AH:$AH,"1월",Raw_Data!$AE:$AE,"용역수익")</f>
        <v>0</v>
      </c>
      <c r="D72" s="4"/>
    </row>
    <row r="73" spans="1:4" x14ac:dyDescent="0.3">
      <c r="A73" s="15" t="s">
        <v>99</v>
      </c>
      <c r="B73" s="6" t="s">
        <v>101</v>
      </c>
      <c r="C73" s="7">
        <f>SUMIFS(Raw_Data!$G:$G,Raw_Data!$AG:$AG,"Com2uS Japan",Raw_Data!$AH:$AH,"1월",Raw_Data!$AE:$AE,"용역수익")</f>
        <v>0</v>
      </c>
      <c r="D73" s="6"/>
    </row>
    <row r="74" spans="1:4" x14ac:dyDescent="0.3">
      <c r="A74" s="16" t="s">
        <v>99</v>
      </c>
      <c r="B74" s="4" t="s">
        <v>102</v>
      </c>
      <c r="C74" s="5">
        <f>SUMIFS(Raw_Data!$G:$G,Raw_Data!$AG:$AG,"Com2uS Taiwan",Raw_Data!$AH:$AH,"1월",Raw_Data!$AE:$AE,"용역수익")</f>
        <v>0</v>
      </c>
      <c r="D74" s="4"/>
    </row>
    <row r="75" spans="1:4" x14ac:dyDescent="0.3">
      <c r="A75" s="15" t="s">
        <v>99</v>
      </c>
      <c r="B75" s="6" t="s">
        <v>103</v>
      </c>
      <c r="C75" s="7">
        <f>SUMIFS(Raw_Data!$G:$G,Raw_Data!$AG:$AG,"Com2uS USA",Raw_Data!$AH:$AH,"1월",Raw_Data!$AE:$AE,"용역수익")</f>
        <v>85428203</v>
      </c>
      <c r="D75" s="6"/>
    </row>
    <row r="76" spans="1:4" x14ac:dyDescent="0.3">
      <c r="A76" s="16" t="s">
        <v>99</v>
      </c>
      <c r="B76" s="4" t="s">
        <v>73</v>
      </c>
      <c r="C76" s="5">
        <f>SUMIFS(Raw_Data!$G:$G,Raw_Data!$AG:$AG,"MetaMagnet",Raw_Data!$AH:$AH,"1월",Raw_Data!$AE:$AE,"용역수익")</f>
        <v>45988884</v>
      </c>
      <c r="D76" s="4" t="s">
        <v>104</v>
      </c>
    </row>
    <row r="77" spans="1:4" x14ac:dyDescent="0.3">
      <c r="A77" s="15" t="s">
        <v>99</v>
      </c>
      <c r="B77" s="6" t="s">
        <v>74</v>
      </c>
      <c r="C77" s="7">
        <f>SUMIFS(Raw_Data!$G:$G,Raw_Data!$AG:$AG,"OASYS",Raw_Data!$AH:$AH,"1월",Raw_Data!$AE:$AE,"용역수익")</f>
        <v>48550328</v>
      </c>
      <c r="D77" s="6" t="s">
        <v>104</v>
      </c>
    </row>
    <row r="78" spans="1:4" x14ac:dyDescent="0.3">
      <c r="A78" s="16" t="s">
        <v>99</v>
      </c>
      <c r="B78" s="4" t="s">
        <v>105</v>
      </c>
      <c r="C78" s="5">
        <f>SUMIFS(Raw_Data!$G:$G,Raw_Data!$AG:$AG,"OOTP(용역)",Raw_Data!$AH:$AH,"1월",Raw_Data!$AE:$AE,"용역수익")</f>
        <v>7068380</v>
      </c>
      <c r="D78" s="4" t="s">
        <v>106</v>
      </c>
    </row>
    <row r="79" spans="1:4" x14ac:dyDescent="0.3">
      <c r="A79" s="15" t="s">
        <v>99</v>
      </c>
      <c r="B79" s="6" t="s">
        <v>107</v>
      </c>
      <c r="C79" s="7">
        <f>SUMIFS(Raw_Data!$G:$G,Raw_Data!$AG:$AG,"데이세븐",Raw_Data!$AH:$AH,"1월",Raw_Data!$AE:$AE,"용역수익")</f>
        <v>25060025</v>
      </c>
      <c r="D79" s="6" t="s">
        <v>108</v>
      </c>
    </row>
    <row r="80" spans="1:4" x14ac:dyDescent="0.3">
      <c r="A80" s="16" t="s">
        <v>99</v>
      </c>
      <c r="B80" s="4" t="s">
        <v>109</v>
      </c>
      <c r="C80" s="5">
        <f>SUMIFS(Raw_Data!$G:$G,Raw_Data!$AG:$AG,"카탈리스터",Raw_Data!$AH:$AH,"1월",Raw_Data!$AE:$AE,"용역수익")</f>
        <v>56102</v>
      </c>
      <c r="D80" s="4"/>
    </row>
    <row r="81" spans="1:4" x14ac:dyDescent="0.3">
      <c r="A81" s="15" t="s">
        <v>99</v>
      </c>
      <c r="B81" s="6" t="s">
        <v>110</v>
      </c>
      <c r="C81" s="7">
        <f>SUMIFS(Raw_Data!$G:$G,Raw_Data!$AG:$AG,"컴투스로카",Raw_Data!$AH:$AH,"1월",Raw_Data!$AE:$AE,"용역수익")</f>
        <v>0</v>
      </c>
      <c r="D81" s="6"/>
    </row>
    <row r="82" spans="1:4" x14ac:dyDescent="0.3">
      <c r="A82" s="16" t="s">
        <v>99</v>
      </c>
      <c r="B82" s="4" t="s">
        <v>36</v>
      </c>
      <c r="C82" s="5">
        <f>SUMIFS(Raw_Data!$G:$G,Raw_Data!$AG:$AG,"컴투스플랫폼",Raw_Data!$AH:$AH,"1월",Raw_Data!$AE:$AE,"용역수익")</f>
        <v>18442377</v>
      </c>
      <c r="D82" s="4"/>
    </row>
    <row r="83" spans="1:4" x14ac:dyDescent="0.3">
      <c r="A83" s="15" t="s">
        <v>99</v>
      </c>
      <c r="B83" s="6" t="s">
        <v>37</v>
      </c>
      <c r="C83" s="7">
        <f>SUMIFS(Raw_Data!$G:$G,Raw_Data!$AG:$AG,"컴투스홀딩스",Raw_Data!$AH:$AH,"1월",Raw_Data!$AE:$AE,"용역수익")</f>
        <v>176769623</v>
      </c>
      <c r="D83" s="6" t="s">
        <v>111</v>
      </c>
    </row>
    <row r="84" spans="1:4" x14ac:dyDescent="0.3">
      <c r="A84" s="16" t="s">
        <v>99</v>
      </c>
      <c r="B84" s="4" t="s">
        <v>112</v>
      </c>
      <c r="C84" s="5">
        <f>SUMIFS(Raw_Data!$G:$G,Raw_Data!$AG:$AG,"티키타카스튜디오",Raw_Data!$AH:$AH,"1월",Raw_Data!$AE:$AE,"용역수익")</f>
        <v>0</v>
      </c>
      <c r="D84" s="4"/>
    </row>
    <row r="85" spans="1:4" x14ac:dyDescent="0.3">
      <c r="A85" s="23" t="s">
        <v>113</v>
      </c>
      <c r="B85" s="24"/>
      <c r="C85" s="25">
        <f>SUM(C72:C84)</f>
        <v>407363922</v>
      </c>
      <c r="D85" s="26"/>
    </row>
    <row r="87" spans="1:4" x14ac:dyDescent="0.3">
      <c r="A87" s="27" t="s">
        <v>114</v>
      </c>
      <c r="B87" s="28"/>
      <c r="C87" s="12">
        <f>C35+C68+C85</f>
        <v>40685580405</v>
      </c>
      <c r="D87" s="29"/>
    </row>
  </sheetData>
  <mergeCells count="4">
    <mergeCell ref="A1:C1"/>
    <mergeCell ref="A37:D37"/>
    <mergeCell ref="A70:D70"/>
    <mergeCell ref="A3:D3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7"/>
  <sheetViews>
    <sheetView workbookViewId="0">
      <pane ySplit="2" topLeftCell="A3" activePane="bottomLeft" state="frozen"/>
      <selection pane="bottomLeft"/>
    </sheetView>
  </sheetViews>
  <sheetFormatPr defaultRowHeight="16.5" x14ac:dyDescent="0.3"/>
  <cols>
    <col min="1" max="1" width="14" customWidth="1"/>
    <col min="2" max="2" width="36" customWidth="1"/>
    <col min="3" max="3" width="20" customWidth="1"/>
    <col min="4" max="4" width="40" customWidth="1"/>
  </cols>
  <sheetData>
    <row r="1" spans="1:4" ht="24" customHeight="1" x14ac:dyDescent="0.3">
      <c r="A1" s="33" t="s">
        <v>115</v>
      </c>
      <c r="B1" s="34"/>
      <c r="C1" s="34"/>
      <c r="D1" s="13" t="s">
        <v>22</v>
      </c>
    </row>
    <row r="2" spans="1:4" ht="6" customHeight="1" x14ac:dyDescent="0.3"/>
    <row r="3" spans="1:4" x14ac:dyDescent="0.3">
      <c r="A3" s="39" t="s">
        <v>23</v>
      </c>
      <c r="B3" s="40"/>
      <c r="C3" s="40"/>
      <c r="D3" s="40"/>
    </row>
    <row r="4" spans="1:4" x14ac:dyDescent="0.3">
      <c r="A4" s="14" t="s">
        <v>24</v>
      </c>
      <c r="B4" s="14" t="s">
        <v>25</v>
      </c>
      <c r="C4" s="14" t="s">
        <v>26</v>
      </c>
      <c r="D4" s="14" t="s">
        <v>27</v>
      </c>
    </row>
    <row r="5" spans="1:4" x14ac:dyDescent="0.3">
      <c r="A5" s="15" t="s">
        <v>28</v>
      </c>
      <c r="B5" s="6" t="s">
        <v>29</v>
      </c>
      <c r="C5" s="7">
        <f>SUMIFS(Raw_Data!$G:$G,Raw_Data!$AG:$AG,"Amazon",Raw_Data!$AH:$AH,"2월",Raw_Data!$AE:$AE,"게임매출",Raw_Data!$AF:$AF,"모바일")</f>
        <v>28352245</v>
      </c>
      <c r="D5" s="6"/>
    </row>
    <row r="6" spans="1:4" x14ac:dyDescent="0.3">
      <c r="A6" s="16" t="s">
        <v>28</v>
      </c>
      <c r="B6" s="4" t="s">
        <v>15</v>
      </c>
      <c r="C6" s="5">
        <f>SUMIFS(Raw_Data!$G:$G,Raw_Data!$AG:$AG,"Beijing Raymobile",Raw_Data!$AH:$AH,"2월",Raw_Data!$AE:$AE,"게임매출",Raw_Data!$AF:$AF,"모바일")</f>
        <v>755333023</v>
      </c>
      <c r="D6" s="4"/>
    </row>
    <row r="7" spans="1:4" x14ac:dyDescent="0.3">
      <c r="A7" s="15" t="s">
        <v>28</v>
      </c>
      <c r="B7" s="6" t="s">
        <v>13</v>
      </c>
      <c r="C7" s="7">
        <f>SUMIFS(Raw_Data!$G:$G,Raw_Data!$AG:$AG,"Huawei",Raw_Data!$AH:$AH,"2월",Raw_Data!$AE:$AE,"게임매출",Raw_Data!$AF:$AF,"모바일")</f>
        <v>979564244</v>
      </c>
      <c r="D7" s="6"/>
    </row>
    <row r="8" spans="1:4" x14ac:dyDescent="0.3">
      <c r="A8" s="16" t="s">
        <v>28</v>
      </c>
      <c r="B8" s="4" t="s">
        <v>30</v>
      </c>
      <c r="C8" s="5">
        <f>SUMIFS(Raw_Data!$G:$G,Raw_Data!$AG:$AG,"Red River",Raw_Data!$AH:$AH,"2월",Raw_Data!$AE:$AE,"게임매출",Raw_Data!$AF:$AF,"모바일")</f>
        <v>62213076</v>
      </c>
      <c r="D8" s="4"/>
    </row>
    <row r="9" spans="1:4" x14ac:dyDescent="0.3">
      <c r="A9" s="15" t="s">
        <v>28</v>
      </c>
      <c r="B9" s="6" t="s">
        <v>31</v>
      </c>
      <c r="C9" s="7">
        <f>SUMIFS(Raw_Data!$G:$G,Raw_Data!$AG:$AG,"Xsolla",Raw_Data!$AH:$AH,"2월",Raw_Data!$AE:$AE,"게임매출",Raw_Data!$AF:$AF,"모바일")</f>
        <v>18196314</v>
      </c>
      <c r="D9" s="6"/>
    </row>
    <row r="10" spans="1:4" x14ac:dyDescent="0.3">
      <c r="A10" s="16" t="s">
        <v>28</v>
      </c>
      <c r="B10" s="4" t="s">
        <v>10</v>
      </c>
      <c r="C10" s="5">
        <f>SUMIFS(Raw_Data!$G:$G,Raw_Data!$AG:$AG,"구글",Raw_Data!$AH:$AH,"2월",Raw_Data!$AE:$AE,"게임매출",Raw_Data!$AF:$AF,"모바일")</f>
        <v>14419718224</v>
      </c>
      <c r="D10" s="4"/>
    </row>
    <row r="11" spans="1:4" x14ac:dyDescent="0.3">
      <c r="A11" s="15" t="s">
        <v>28</v>
      </c>
      <c r="B11" s="6" t="s">
        <v>32</v>
      </c>
      <c r="C11" s="7">
        <f>SUMIFS(Raw_Data!$G:$G,Raw_Data!$AG:$AG,"밸로프",Raw_Data!$AH:$AH,"2월",Raw_Data!$AE:$AE,"게임매출",Raw_Data!$AF:$AF,"모바일")</f>
        <v>31623075</v>
      </c>
      <c r="D11" s="6"/>
    </row>
    <row r="12" spans="1:4" x14ac:dyDescent="0.3">
      <c r="A12" s="16" t="s">
        <v>28</v>
      </c>
      <c r="B12" s="4" t="s">
        <v>33</v>
      </c>
      <c r="C12" s="5">
        <f>SUMIFS(Raw_Data!$G:$G,Raw_Data!$AG:$AG,"비바리퍼블리카",Raw_Data!$AH:$AH,"2월",Raw_Data!$AE:$AE,"게임매출",Raw_Data!$AF:$AF,"모바일")</f>
        <v>225000</v>
      </c>
      <c r="D12" s="4"/>
    </row>
    <row r="13" spans="1:4" x14ac:dyDescent="0.3">
      <c r="A13" s="15" t="s">
        <v>28</v>
      </c>
      <c r="B13" s="6" t="s">
        <v>9</v>
      </c>
      <c r="C13" s="7">
        <f>SUMIFS(Raw_Data!$G:$G,Raw_Data!$AG:$AG,"애플",Raw_Data!$AH:$AH,"2월",Raw_Data!$AE:$AE,"게임매출",Raw_Data!$AF:$AF,"모바일")</f>
        <v>17056774480</v>
      </c>
      <c r="D13" s="6"/>
    </row>
    <row r="14" spans="1:4" x14ac:dyDescent="0.3">
      <c r="A14" s="16" t="s">
        <v>28</v>
      </c>
      <c r="B14" s="4" t="s">
        <v>11</v>
      </c>
      <c r="C14" s="5">
        <f>SUMIFS(Raw_Data!$G:$G,Raw_Data!$AG:$AG,"원스토어",Raw_Data!$AH:$AH,"2월",Raw_Data!$AE:$AE,"게임매출",Raw_Data!$AF:$AF,"모바일")</f>
        <v>4397698340</v>
      </c>
      <c r="D14" s="4" t="s">
        <v>34</v>
      </c>
    </row>
    <row r="15" spans="1:4" x14ac:dyDescent="0.3">
      <c r="A15" s="15" t="s">
        <v>28</v>
      </c>
      <c r="B15" s="6" t="s">
        <v>35</v>
      </c>
      <c r="C15" s="7">
        <f>SUMIFS(Raw_Data!$G:$G,Raw_Data!$AG:$AG,"컴투스(수익이연)",Raw_Data!$AH:$AH,"2월",Raw_Data!$AE:$AE,"게임매출",Raw_Data!$AF:$AF,"모바일")</f>
        <v>0</v>
      </c>
      <c r="D15" s="6"/>
    </row>
    <row r="16" spans="1:4" x14ac:dyDescent="0.3">
      <c r="A16" s="16" t="s">
        <v>28</v>
      </c>
      <c r="B16" s="4" t="s">
        <v>36</v>
      </c>
      <c r="C16" s="5">
        <f>SUMIFS(Raw_Data!$G:$G,Raw_Data!$AG:$AG,"컴투스플랫폼",Raw_Data!$AH:$AH,"2월",Raw_Data!$AE:$AE,"게임매출",Raw_Data!$AF:$AF,"모바일")</f>
        <v>0</v>
      </c>
      <c r="D16" s="4"/>
    </row>
    <row r="17" spans="1:4" x14ac:dyDescent="0.3">
      <c r="A17" s="15" t="s">
        <v>28</v>
      </c>
      <c r="B17" s="6" t="s">
        <v>37</v>
      </c>
      <c r="C17" s="7">
        <f>SUMIFS(Raw_Data!$G:$G,Raw_Data!$AG:$AG,"컴투스홀딩스",Raw_Data!$AH:$AH,"2월",Raw_Data!$AE:$AE,"게임매출",Raw_Data!$AF:$AF,"모바일")</f>
        <v>29677546</v>
      </c>
      <c r="D17" s="6"/>
    </row>
    <row r="18" spans="1:4" x14ac:dyDescent="0.3">
      <c r="A18" s="16" t="s">
        <v>38</v>
      </c>
      <c r="B18" s="4" t="s">
        <v>14</v>
      </c>
      <c r="C18" s="5">
        <f>SUMIFS(Raw_Data!$G:$G,Raw_Data!$AG:$AG,"NHN",Raw_Data!$AH:$AH,"2월",Raw_Data!$AE:$AE,"게임매출",Raw_Data!$AF:$AF,"온라인")</f>
        <v>1064221823</v>
      </c>
      <c r="D18" s="4"/>
    </row>
    <row r="19" spans="1:4" x14ac:dyDescent="0.3">
      <c r="A19" s="15" t="s">
        <v>38</v>
      </c>
      <c r="B19" s="6" t="s">
        <v>39</v>
      </c>
      <c r="C19" s="7">
        <f>SUMIFS(Raw_Data!$G:$G,Raw_Data!$AG:$AG,"Paypal",Raw_Data!$AH:$AH,"2월",Raw_Data!$AE:$AE,"게임매출",Raw_Data!$AF:$AF,"온라인")</f>
        <v>534735</v>
      </c>
      <c r="D19" s="6"/>
    </row>
    <row r="20" spans="1:4" x14ac:dyDescent="0.3">
      <c r="A20" s="16" t="s">
        <v>38</v>
      </c>
      <c r="B20" s="4" t="s">
        <v>40</v>
      </c>
      <c r="C20" s="5">
        <f>SUMIFS(Raw_Data!$G:$G,Raw_Data!$AG:$AG,"SOFT-WORLD",Raw_Data!$AH:$AH,"2월",Raw_Data!$AE:$AE,"게임매출",Raw_Data!$AF:$AF,"온라인")</f>
        <v>0</v>
      </c>
      <c r="D20" s="4"/>
    </row>
    <row r="21" spans="1:4" x14ac:dyDescent="0.3">
      <c r="A21" s="15" t="s">
        <v>38</v>
      </c>
      <c r="B21" s="6" t="s">
        <v>42</v>
      </c>
      <c r="C21" s="7">
        <f>SUMIFS(Raw_Data!$G:$G,Raw_Data!$AG:$AG,"Terminal3",Raw_Data!$AH:$AH,"2월",Raw_Data!$AE:$AE,"게임매출",Raw_Data!$AF:$AF,"온라인")</f>
        <v>13859338</v>
      </c>
      <c r="D21" s="6"/>
    </row>
    <row r="22" spans="1:4" x14ac:dyDescent="0.3">
      <c r="A22" s="16" t="s">
        <v>38</v>
      </c>
      <c r="B22" s="4" t="s">
        <v>12</v>
      </c>
      <c r="C22" s="5">
        <f>SUMIFS(Raw_Data!$G:$G,Raw_Data!$AG:$AG,"Valve",Raw_Data!$AH:$AH,"2월",Raw_Data!$AE:$AE,"게임매출",Raw_Data!$AF:$AF,"온라인")</f>
        <v>1434907028</v>
      </c>
      <c r="D22" s="4"/>
    </row>
    <row r="23" spans="1:4" x14ac:dyDescent="0.3">
      <c r="A23" s="15" t="s">
        <v>38</v>
      </c>
      <c r="B23" s="6" t="s">
        <v>43</v>
      </c>
      <c r="C23" s="7">
        <f>SUMIFS(Raw_Data!$G:$G,Raw_Data!$AG:$AG,"네이버파이낸셜",Raw_Data!$AH:$AH,"2월",Raw_Data!$AE:$AE,"게임매출",Raw_Data!$AF:$AF,"온라인")</f>
        <v>757668092</v>
      </c>
      <c r="D23" s="6"/>
    </row>
    <row r="24" spans="1:4" x14ac:dyDescent="0.3">
      <c r="A24" s="16" t="s">
        <v>38</v>
      </c>
      <c r="B24" s="4" t="s">
        <v>44</v>
      </c>
      <c r="C24" s="5">
        <f>SUMIFS(Raw_Data!$G:$G,Raw_Data!$AG:$AG,"토스페이먼츠",Raw_Data!$AH:$AH,"2월",Raw_Data!$AE:$AE,"게임매출",Raw_Data!$AF:$AF,"온라인")</f>
        <v>183753182</v>
      </c>
      <c r="D24" s="4"/>
    </row>
    <row r="25" spans="1:4" x14ac:dyDescent="0.3">
      <c r="A25" s="15" t="s">
        <v>45</v>
      </c>
      <c r="B25" s="6" t="s">
        <v>46</v>
      </c>
      <c r="C25" s="7">
        <f>SUMIFS(Raw_Data!$G:$G,Raw_Data!$AG:$AG,"Admob",Raw_Data!$AH:$AH,"2월",Raw_Data!$AE:$AE,"게임매출",Raw_Data!$AF:$AF,"광고")</f>
        <v>0</v>
      </c>
      <c r="D25" s="6"/>
    </row>
    <row r="26" spans="1:4" x14ac:dyDescent="0.3">
      <c r="A26" s="16" t="s">
        <v>45</v>
      </c>
      <c r="B26" s="4" t="s">
        <v>47</v>
      </c>
      <c r="C26" s="5">
        <f>SUMIFS(Raw_Data!$G:$G,Raw_Data!$AG:$AG,"Facebook",Raw_Data!$AH:$AH,"2월",Raw_Data!$AE:$AE,"게임매출",Raw_Data!$AF:$AF,"광고")</f>
        <v>17306910</v>
      </c>
      <c r="D26" s="4"/>
    </row>
    <row r="27" spans="1:4" x14ac:dyDescent="0.3">
      <c r="A27" s="15" t="s">
        <v>45</v>
      </c>
      <c r="B27" s="6" t="s">
        <v>48</v>
      </c>
      <c r="C27" s="7">
        <f>SUMIFS(Raw_Data!$G:$G,Raw_Data!$AG:$AG,"Line",Raw_Data!$AH:$AH,"2월",Raw_Data!$AE:$AE,"게임매출",Raw_Data!$AF:$AF,"광고")</f>
        <v>2751</v>
      </c>
      <c r="D27" s="6"/>
    </row>
    <row r="28" spans="1:4" x14ac:dyDescent="0.3">
      <c r="A28" s="16" t="s">
        <v>45</v>
      </c>
      <c r="B28" s="4" t="s">
        <v>49</v>
      </c>
      <c r="C28" s="5">
        <f>SUMIFS(Raw_Data!$G:$G,Raw_Data!$AG:$AG,"넵튠",Raw_Data!$AH:$AH,"2월",Raw_Data!$AE:$AE,"게임매출",Raw_Data!$AF:$AF,"광고")</f>
        <v>71388096</v>
      </c>
      <c r="D28" s="4" t="s">
        <v>50</v>
      </c>
    </row>
    <row r="29" spans="1:4" x14ac:dyDescent="0.3">
      <c r="A29" s="15" t="s">
        <v>45</v>
      </c>
      <c r="B29" s="6" t="s">
        <v>51</v>
      </c>
      <c r="C29" s="7">
        <f>SUMIFS(Raw_Data!$G:$G,Raw_Data!$AG:$AG,"원스토어(광고)",Raw_Data!$AH:$AH,"2월",Raw_Data!$AE:$AE,"게임매출",Raw_Data!$AF:$AF,"광고")</f>
        <v>122140711</v>
      </c>
      <c r="D29" s="6" t="s">
        <v>52</v>
      </c>
    </row>
    <row r="30" spans="1:4" x14ac:dyDescent="0.3">
      <c r="A30" s="16" t="s">
        <v>53</v>
      </c>
      <c r="B30" s="4" t="s">
        <v>53</v>
      </c>
      <c r="C30" s="5">
        <f>SUMIFS(Raw_Data!$G:$G,Raw_Data!$AG:$AG,"OOTP",Raw_Data!$AH:$AH,"2월",Raw_Data!$AE:$AE,"게임매출",Raw_Data!$AF:$AF,"OOTP")</f>
        <v>727921</v>
      </c>
      <c r="D30" s="4" t="s">
        <v>54</v>
      </c>
    </row>
    <row r="31" spans="1:4" x14ac:dyDescent="0.3">
      <c r="A31" s="8" t="s">
        <v>55</v>
      </c>
      <c r="B31" s="17"/>
      <c r="C31" s="9">
        <f>SUM(C5:C17)</f>
        <v>37779375567</v>
      </c>
      <c r="D31" s="17"/>
    </row>
    <row r="32" spans="1:4" x14ac:dyDescent="0.3">
      <c r="A32" s="8" t="s">
        <v>56</v>
      </c>
      <c r="B32" s="17"/>
      <c r="C32" s="9">
        <f>SUM(C18:C24)</f>
        <v>3454944198</v>
      </c>
      <c r="D32" s="17"/>
    </row>
    <row r="33" spans="1:4" x14ac:dyDescent="0.3">
      <c r="A33" s="8" t="s">
        <v>57</v>
      </c>
      <c r="B33" s="17"/>
      <c r="C33" s="9">
        <f>SUM(C25:C29)</f>
        <v>210838468</v>
      </c>
      <c r="D33" s="17"/>
    </row>
    <row r="34" spans="1:4" x14ac:dyDescent="0.3">
      <c r="A34" s="8" t="s">
        <v>58</v>
      </c>
      <c r="B34" s="17"/>
      <c r="C34" s="9">
        <f>SUM(C30:C30)</f>
        <v>727921</v>
      </c>
      <c r="D34" s="17"/>
    </row>
    <row r="35" spans="1:4" x14ac:dyDescent="0.3">
      <c r="A35" s="8" t="s">
        <v>59</v>
      </c>
      <c r="B35" s="17"/>
      <c r="C35" s="9">
        <f>C31+C32+C33+C34</f>
        <v>41445886154</v>
      </c>
      <c r="D35" s="18"/>
    </row>
    <row r="37" spans="1:4" x14ac:dyDescent="0.3">
      <c r="A37" s="35" t="s">
        <v>60</v>
      </c>
      <c r="B37" s="36"/>
      <c r="C37" s="36"/>
      <c r="D37" s="36"/>
    </row>
    <row r="38" spans="1:4" x14ac:dyDescent="0.3">
      <c r="A38" s="14" t="s">
        <v>24</v>
      </c>
      <c r="B38" s="14" t="s">
        <v>25</v>
      </c>
      <c r="C38" s="14" t="s">
        <v>26</v>
      </c>
      <c r="D38" s="14" t="s">
        <v>27</v>
      </c>
    </row>
    <row r="39" spans="1:4" x14ac:dyDescent="0.3">
      <c r="A39" s="15" t="s">
        <v>61</v>
      </c>
      <c r="B39" s="6" t="s">
        <v>62</v>
      </c>
      <c r="C39" s="7">
        <f>SUMIFS(Raw_Data!$G:$G,Raw_Data!$AG:$AG,"Moye Technology",Raw_Data!$AH:$AH,"2월",Raw_Data!$AE:$AE,"기타수익",Raw_Data!$AF:$AF,"로열티수익")</f>
        <v>0</v>
      </c>
      <c r="D39" s="6"/>
    </row>
    <row r="40" spans="1:4" x14ac:dyDescent="0.3">
      <c r="A40" s="16" t="s">
        <v>61</v>
      </c>
      <c r="B40" s="4" t="s">
        <v>63</v>
      </c>
      <c r="C40" s="5">
        <f>SUMIFS(Raw_Data!$G:$G,Raw_Data!$AG:$AG,"OOTP(로열티)",Raw_Data!$AH:$AH,"2월",Raw_Data!$AE:$AE,"기타수익",Raw_Data!$AF:$AF,"로열티수익")</f>
        <v>0</v>
      </c>
      <c r="D40" s="4"/>
    </row>
    <row r="41" spans="1:4" x14ac:dyDescent="0.3">
      <c r="A41" s="15" t="s">
        <v>61</v>
      </c>
      <c r="B41" s="6" t="s">
        <v>64</v>
      </c>
      <c r="C41" s="7">
        <f>SUMIFS(Raw_Data!$G:$G,Raw_Data!$AG:$AG,"Skybound",Raw_Data!$AH:$AH,"2월",Raw_Data!$AE:$AE,"기타수익",Raw_Data!$AF:$AF,"로열티수익")</f>
        <v>0</v>
      </c>
      <c r="D41" s="6"/>
    </row>
    <row r="42" spans="1:4" x14ac:dyDescent="0.3">
      <c r="A42" s="16" t="s">
        <v>61</v>
      </c>
      <c r="B42" s="4" t="s">
        <v>65</v>
      </c>
      <c r="C42" s="5">
        <f>SUMIFS(Raw_Data!$G:$G,Raw_Data!$AG:$AG,"공게임즈",Raw_Data!$AH:$AH,"2월",Raw_Data!$AE:$AE,"기타수익",Raw_Data!$AF:$AF,"로열티수익")</f>
        <v>0</v>
      </c>
      <c r="D42" s="4"/>
    </row>
    <row r="43" spans="1:4" x14ac:dyDescent="0.3">
      <c r="A43" s="15" t="s">
        <v>61</v>
      </c>
      <c r="B43" s="6" t="s">
        <v>66</v>
      </c>
      <c r="C43" s="7">
        <f>SUMIFS(Raw_Data!$G:$G,Raw_Data!$AG:$AG,"네오위즈스포츠",Raw_Data!$AH:$AH,"2월",Raw_Data!$AE:$AE,"기타수익",Raw_Data!$AF:$AF,"로열티수익")</f>
        <v>0</v>
      </c>
      <c r="D43" s="6"/>
    </row>
    <row r="44" spans="1:4" x14ac:dyDescent="0.3">
      <c r="A44" s="16" t="s">
        <v>61</v>
      </c>
      <c r="B44" s="4" t="s">
        <v>67</v>
      </c>
      <c r="C44" s="5">
        <f>SUMIFS(Raw_Data!$G:$G,Raw_Data!$AG:$AG,"밸로프(로열티)",Raw_Data!$AH:$AH,"2월",Raw_Data!$AE:$AE,"기타수익",Raw_Data!$AF:$AF,"로열티수익")</f>
        <v>0</v>
      </c>
      <c r="D44" s="4"/>
    </row>
    <row r="45" spans="1:4" x14ac:dyDescent="0.3">
      <c r="A45" s="15" t="s">
        <v>61</v>
      </c>
      <c r="B45" s="6" t="s">
        <v>68</v>
      </c>
      <c r="C45" s="7">
        <f>SUMIFS(Raw_Data!$G:$G,Raw_Data!$AG:$AG,"에이스프로젝트",Raw_Data!$AH:$AH,"2월",Raw_Data!$AE:$AE,"기타수익",Raw_Data!$AF:$AF,"로열티수익")</f>
        <v>0</v>
      </c>
      <c r="D45" s="6"/>
    </row>
    <row r="46" spans="1:4" x14ac:dyDescent="0.3">
      <c r="A46" s="16" t="s">
        <v>61</v>
      </c>
      <c r="B46" s="4" t="s">
        <v>69</v>
      </c>
      <c r="C46" s="5">
        <f>SUMIFS(Raw_Data!$G:$G,Raw_Data!$AG:$AG,"위메이드",Raw_Data!$AH:$AH,"2월",Raw_Data!$AE:$AE,"기타수익",Raw_Data!$AF:$AF,"로열티수익")</f>
        <v>0</v>
      </c>
      <c r="D46" s="4"/>
    </row>
    <row r="47" spans="1:4" x14ac:dyDescent="0.3">
      <c r="A47" s="15" t="s">
        <v>61</v>
      </c>
      <c r="B47" s="6" t="s">
        <v>70</v>
      </c>
      <c r="C47" s="7">
        <f>SUMIFS(Raw_Data!$G:$G,Raw_Data!$AG:$AG,"케나즈",Raw_Data!$AH:$AH,"2월",Raw_Data!$AE:$AE,"기타수익",Raw_Data!$AF:$AF,"로열티수익")</f>
        <v>31189</v>
      </c>
      <c r="D47" s="6" t="s">
        <v>116</v>
      </c>
    </row>
    <row r="48" spans="1:4" x14ac:dyDescent="0.3">
      <c r="A48" s="16" t="s">
        <v>61</v>
      </c>
      <c r="B48" s="4" t="s">
        <v>71</v>
      </c>
      <c r="C48" s="5">
        <f>SUMIFS(Raw_Data!$G:$G,Raw_Data!$AG:$AG,"해긴",Raw_Data!$AH:$AH,"2월",Raw_Data!$AE:$AE,"기타수익",Raw_Data!$AF:$AF,"로열티수익")</f>
        <v>0</v>
      </c>
      <c r="D48" s="4"/>
    </row>
    <row r="49" spans="1:4" x14ac:dyDescent="0.3">
      <c r="A49" s="15" t="s">
        <v>16</v>
      </c>
      <c r="B49" s="6" t="s">
        <v>72</v>
      </c>
      <c r="C49" s="7">
        <f>SUMIFS(Raw_Data!$G:$G,Raw_Data!$AG:$AG,"CJ올리브영",Raw_Data!$AH:$AH,"2월",Raw_Data!$AE:$AE,"기타수익",Raw_Data!$AF:$AF,"기타")</f>
        <v>0</v>
      </c>
      <c r="D49" s="6"/>
    </row>
    <row r="50" spans="1:4" x14ac:dyDescent="0.3">
      <c r="A50" s="16" t="s">
        <v>16</v>
      </c>
      <c r="B50" s="4" t="s">
        <v>73</v>
      </c>
      <c r="C50" s="5">
        <f>SUMIFS(Raw_Data!$G:$G,Raw_Data!$AG:$AG,"MetaMagnet",Raw_Data!$AH:$AH,"2월",Raw_Data!$AE:$AE,"기타수익",Raw_Data!$AF:$AF,"기타")</f>
        <v>0</v>
      </c>
      <c r="D50" s="4"/>
    </row>
    <row r="51" spans="1:4" x14ac:dyDescent="0.3">
      <c r="A51" s="15" t="s">
        <v>16</v>
      </c>
      <c r="B51" s="6" t="s">
        <v>74</v>
      </c>
      <c r="C51" s="7">
        <f>SUMIFS(Raw_Data!$G:$G,Raw_Data!$AG:$AG,"OASYS",Raw_Data!$AH:$AH,"2월",Raw_Data!$AE:$AE,"기타수익",Raw_Data!$AF:$AF,"기타")</f>
        <v>0</v>
      </c>
      <c r="D51" s="6"/>
    </row>
    <row r="52" spans="1:4" x14ac:dyDescent="0.3">
      <c r="A52" s="16" t="s">
        <v>16</v>
      </c>
      <c r="B52" s="4" t="s">
        <v>75</v>
      </c>
      <c r="C52" s="5">
        <f>SUMIFS(Raw_Data!$G:$G,Raw_Data!$AG:$AG,"SBTM",Raw_Data!$AH:$AH,"2월",Raw_Data!$AE:$AE,"기타수익",Raw_Data!$AF:$AF,"기타")</f>
        <v>0</v>
      </c>
      <c r="D52" s="4"/>
    </row>
    <row r="53" spans="1:4" x14ac:dyDescent="0.3">
      <c r="A53" s="15" t="s">
        <v>16</v>
      </c>
      <c r="B53" s="6" t="s">
        <v>76</v>
      </c>
      <c r="C53" s="7">
        <f>SUMIFS(Raw_Data!$G:$G,Raw_Data!$AG:$AG,"게임테일즈",Raw_Data!$AH:$AH,"2월",Raw_Data!$AE:$AE,"기타수익",Raw_Data!$AF:$AF,"기타")</f>
        <v>9618919</v>
      </c>
      <c r="D53" s="6" t="s">
        <v>117</v>
      </c>
    </row>
    <row r="54" spans="1:4" x14ac:dyDescent="0.3">
      <c r="A54" s="16" t="s">
        <v>16</v>
      </c>
      <c r="B54" s="4" t="s">
        <v>77</v>
      </c>
      <c r="C54" s="5">
        <f>SUMIFS(Raw_Data!$G:$G,Raw_Data!$AG:$AG,"넷마블(기타)",Raw_Data!$AH:$AH,"2월",Raw_Data!$AE:$AE,"기타수익",Raw_Data!$AF:$AF,"기타")</f>
        <v>0</v>
      </c>
      <c r="D54" s="4"/>
    </row>
    <row r="55" spans="1:4" x14ac:dyDescent="0.3">
      <c r="A55" s="15" t="s">
        <v>16</v>
      </c>
      <c r="B55" s="6" t="s">
        <v>78</v>
      </c>
      <c r="C55" s="7">
        <f>SUMIFS(Raw_Data!$G:$G,Raw_Data!$AG:$AG,"데이세븐(기타)",Raw_Data!$AH:$AH,"2월",Raw_Data!$AE:$AE,"기타수익",Raw_Data!$AF:$AF,"기타")</f>
        <v>175000</v>
      </c>
      <c r="D55" s="6" t="s">
        <v>79</v>
      </c>
    </row>
    <row r="56" spans="1:4" x14ac:dyDescent="0.3">
      <c r="A56" s="16" t="s">
        <v>16</v>
      </c>
      <c r="B56" s="4" t="s">
        <v>80</v>
      </c>
      <c r="C56" s="5">
        <f>SUMIFS(Raw_Data!$G:$G,Raw_Data!$AG:$AG,"링티",Raw_Data!$AH:$AH,"2월",Raw_Data!$AE:$AE,"기타수익",Raw_Data!$AF:$AF,"기타")</f>
        <v>0</v>
      </c>
      <c r="D56" s="4"/>
    </row>
    <row r="57" spans="1:4" x14ac:dyDescent="0.3">
      <c r="A57" s="15" t="s">
        <v>16</v>
      </c>
      <c r="B57" s="6" t="s">
        <v>81</v>
      </c>
      <c r="C57" s="7">
        <f>SUMIFS(Raw_Data!$G:$G,Raw_Data!$AG:$AG,"비즈마켓",Raw_Data!$AH:$AH,"2월",Raw_Data!$AE:$AE,"기타수익",Raw_Data!$AF:$AF,"기타")</f>
        <v>0</v>
      </c>
      <c r="D57" s="6"/>
    </row>
    <row r="58" spans="1:4" x14ac:dyDescent="0.3">
      <c r="A58" s="16" t="s">
        <v>16</v>
      </c>
      <c r="B58" s="4" t="s">
        <v>82</v>
      </c>
      <c r="C58" s="5">
        <f>SUMIFS(Raw_Data!$G:$G,Raw_Data!$AG:$AG,"삼성화재",Raw_Data!$AH:$AH,"2월",Raw_Data!$AE:$AE,"기타수익",Raw_Data!$AF:$AF,"기타")</f>
        <v>0</v>
      </c>
      <c r="D58" s="4"/>
    </row>
    <row r="59" spans="1:4" x14ac:dyDescent="0.3">
      <c r="A59" s="15" t="s">
        <v>16</v>
      </c>
      <c r="B59" s="6" t="s">
        <v>83</v>
      </c>
      <c r="C59" s="7">
        <f>SUMIFS(Raw_Data!$G:$G,Raw_Data!$AG:$AG,"에스비에스콘텐츠허브",Raw_Data!$AH:$AH,"2월",Raw_Data!$AE:$AE,"기타수익",Raw_Data!$AF:$AF,"기타")</f>
        <v>117215</v>
      </c>
      <c r="D59" s="6" t="s">
        <v>84</v>
      </c>
    </row>
    <row r="60" spans="1:4" x14ac:dyDescent="0.3">
      <c r="A60" s="16" t="s">
        <v>16</v>
      </c>
      <c r="B60" s="4" t="s">
        <v>85</v>
      </c>
      <c r="C60" s="5">
        <f>SUMIFS(Raw_Data!$G:$G,Raw_Data!$AG:$AG,"오내피플",Raw_Data!$AH:$AH,"2월",Raw_Data!$AE:$AE,"기타수익",Raw_Data!$AF:$AF,"기타")</f>
        <v>0</v>
      </c>
      <c r="D60" s="4"/>
    </row>
    <row r="61" spans="1:4" x14ac:dyDescent="0.3">
      <c r="A61" s="15" t="s">
        <v>16</v>
      </c>
      <c r="B61" s="6" t="s">
        <v>86</v>
      </c>
      <c r="C61" s="7">
        <f>SUMIFS(Raw_Data!$G:$G,Raw_Data!$AG:$AG,"인케이코리아",Raw_Data!$AH:$AH,"2월",Raw_Data!$AE:$AE,"기타수익",Raw_Data!$AF:$AF,"기타")</f>
        <v>0</v>
      </c>
      <c r="D61" s="6"/>
    </row>
    <row r="62" spans="1:4" x14ac:dyDescent="0.3">
      <c r="A62" s="16" t="s">
        <v>16</v>
      </c>
      <c r="B62" s="4" t="s">
        <v>87</v>
      </c>
      <c r="C62" s="5">
        <f>SUMIFS(Raw_Data!$G:$G,Raw_Data!$AG:$AG,"카탈리스터(기타)",Raw_Data!$AH:$AH,"2월",Raw_Data!$AE:$AE,"기타수익",Raw_Data!$AF:$AF,"기타")</f>
        <v>967903</v>
      </c>
      <c r="D62" s="4" t="s">
        <v>88</v>
      </c>
    </row>
    <row r="63" spans="1:4" x14ac:dyDescent="0.3">
      <c r="A63" s="15" t="s">
        <v>16</v>
      </c>
      <c r="B63" s="6" t="s">
        <v>89</v>
      </c>
      <c r="C63" s="7">
        <f>SUMIFS(Raw_Data!$G:$G,Raw_Data!$AG:$AG,"컴투스로카(기타)",Raw_Data!$AH:$AH,"2월",Raw_Data!$AE:$AE,"기타수익",Raw_Data!$AF:$AF,"기타")</f>
        <v>0</v>
      </c>
      <c r="D63" s="6"/>
    </row>
    <row r="64" spans="1:4" x14ac:dyDescent="0.3">
      <c r="A64" s="16" t="s">
        <v>16</v>
      </c>
      <c r="B64" s="4" t="s">
        <v>90</v>
      </c>
      <c r="C64" s="5">
        <f>SUMIFS(Raw_Data!$G:$G,Raw_Data!$AG:$AG,"컴투스플랫폼(기타)",Raw_Data!$AH:$AH,"2월",Raw_Data!$AE:$AE,"기타수익",Raw_Data!$AF:$AF,"기타")</f>
        <v>39906956</v>
      </c>
      <c r="D64" s="4" t="s">
        <v>91</v>
      </c>
    </row>
    <row r="65" spans="1:4" x14ac:dyDescent="0.3">
      <c r="A65" s="15" t="s">
        <v>16</v>
      </c>
      <c r="B65" s="6" t="s">
        <v>92</v>
      </c>
      <c r="C65" s="7">
        <f>SUMIFS(Raw_Data!$G:$G,Raw_Data!$AG:$AG,"컴투스홀딩스(기타)",Raw_Data!$AH:$AH,"2월",Raw_Data!$AE:$AE,"기타수익",Raw_Data!$AF:$AF,"기타")</f>
        <v>38329831</v>
      </c>
      <c r="D65" s="6" t="s">
        <v>93</v>
      </c>
    </row>
    <row r="66" spans="1:4" x14ac:dyDescent="0.3">
      <c r="A66" s="16" t="s">
        <v>16</v>
      </c>
      <c r="B66" s="4" t="s">
        <v>94</v>
      </c>
      <c r="C66" s="5">
        <f>SUMIFS(Raw_Data!$G:$G,Raw_Data!$AG:$AG,"하이브로",Raw_Data!$AH:$AH,"2월",Raw_Data!$AE:$AE,"기타수익",Raw_Data!$AF:$AF,"기타")</f>
        <v>21961713</v>
      </c>
      <c r="D66" s="4" t="s">
        <v>95</v>
      </c>
    </row>
    <row r="67" spans="1:4" x14ac:dyDescent="0.3">
      <c r="A67" s="15" t="s">
        <v>16</v>
      </c>
      <c r="B67" s="6" t="s">
        <v>96</v>
      </c>
      <c r="C67" s="7">
        <f>SUMIFS(Raw_Data!$G:$G,Raw_Data!$AG:$AG,"한국문화진흥",Raw_Data!$AH:$AH,"2월",Raw_Data!$AE:$AE,"기타수익",Raw_Data!$AF:$AF,"기타")</f>
        <v>0</v>
      </c>
      <c r="D67" s="6"/>
    </row>
    <row r="68" spans="1:4" x14ac:dyDescent="0.3">
      <c r="A68" s="19" t="s">
        <v>97</v>
      </c>
      <c r="B68" s="20"/>
      <c r="C68" s="21">
        <f>SUM(C39:C48,C49:C67)</f>
        <v>111108726</v>
      </c>
      <c r="D68" s="22"/>
    </row>
    <row r="70" spans="1:4" x14ac:dyDescent="0.3">
      <c r="A70" s="37" t="s">
        <v>98</v>
      </c>
      <c r="B70" s="38"/>
      <c r="C70" s="38"/>
      <c r="D70" s="38"/>
    </row>
    <row r="71" spans="1:4" x14ac:dyDescent="0.3">
      <c r="A71" s="14" t="s">
        <v>24</v>
      </c>
      <c r="B71" s="14" t="s">
        <v>25</v>
      </c>
      <c r="C71" s="14" t="s">
        <v>26</v>
      </c>
      <c r="D71" s="14" t="s">
        <v>27</v>
      </c>
    </row>
    <row r="72" spans="1:4" x14ac:dyDescent="0.3">
      <c r="A72" s="16" t="s">
        <v>99</v>
      </c>
      <c r="B72" s="4" t="s">
        <v>100</v>
      </c>
      <c r="C72" s="5">
        <f>SUMIFS(Raw_Data!$G:$G,Raw_Data!$AG:$AG,"Com2uS Europe",Raw_Data!$AH:$AH,"2월",Raw_Data!$AE:$AE,"용역수익")</f>
        <v>0</v>
      </c>
      <c r="D72" s="4"/>
    </row>
    <row r="73" spans="1:4" x14ac:dyDescent="0.3">
      <c r="A73" s="15" t="s">
        <v>99</v>
      </c>
      <c r="B73" s="6" t="s">
        <v>101</v>
      </c>
      <c r="C73" s="7">
        <f>SUMIFS(Raw_Data!$G:$G,Raw_Data!$AG:$AG,"Com2uS Japan",Raw_Data!$AH:$AH,"2월",Raw_Data!$AE:$AE,"용역수익")</f>
        <v>0</v>
      </c>
      <c r="D73" s="6"/>
    </row>
    <row r="74" spans="1:4" x14ac:dyDescent="0.3">
      <c r="A74" s="16" t="s">
        <v>99</v>
      </c>
      <c r="B74" s="4" t="s">
        <v>102</v>
      </c>
      <c r="C74" s="5">
        <f>SUMIFS(Raw_Data!$G:$G,Raw_Data!$AG:$AG,"Com2uS Taiwan",Raw_Data!$AH:$AH,"2월",Raw_Data!$AE:$AE,"용역수익")</f>
        <v>0</v>
      </c>
      <c r="D74" s="4"/>
    </row>
    <row r="75" spans="1:4" x14ac:dyDescent="0.3">
      <c r="A75" s="15" t="s">
        <v>99</v>
      </c>
      <c r="B75" s="6" t="s">
        <v>103</v>
      </c>
      <c r="C75" s="7">
        <f>SUMIFS(Raw_Data!$G:$G,Raw_Data!$AG:$AG,"Com2uS USA",Raw_Data!$AH:$AH,"2월",Raw_Data!$AE:$AE,"용역수익")</f>
        <v>66233674</v>
      </c>
      <c r="D75" s="6"/>
    </row>
    <row r="76" spans="1:4" x14ac:dyDescent="0.3">
      <c r="A76" s="16" t="s">
        <v>99</v>
      </c>
      <c r="B76" s="4" t="s">
        <v>73</v>
      </c>
      <c r="C76" s="5">
        <f>SUMIFS(Raw_Data!$G:$G,Raw_Data!$AG:$AG,"MetaMagnet",Raw_Data!$AH:$AH,"2월",Raw_Data!$AE:$AE,"용역수익")</f>
        <v>44908789</v>
      </c>
      <c r="D76" s="4" t="s">
        <v>104</v>
      </c>
    </row>
    <row r="77" spans="1:4" x14ac:dyDescent="0.3">
      <c r="A77" s="15" t="s">
        <v>99</v>
      </c>
      <c r="B77" s="6" t="s">
        <v>74</v>
      </c>
      <c r="C77" s="7">
        <f>SUMIFS(Raw_Data!$G:$G,Raw_Data!$AG:$AG,"OASYS",Raw_Data!$AH:$AH,"2월",Raw_Data!$AE:$AE,"용역수익")</f>
        <v>49977328</v>
      </c>
      <c r="D77" s="6" t="s">
        <v>104</v>
      </c>
    </row>
    <row r="78" spans="1:4" x14ac:dyDescent="0.3">
      <c r="A78" s="16" t="s">
        <v>99</v>
      </c>
      <c r="B78" s="4" t="s">
        <v>105</v>
      </c>
      <c r="C78" s="5">
        <f>SUMIFS(Raw_Data!$G:$G,Raw_Data!$AG:$AG,"OOTP(용역)",Raw_Data!$AH:$AH,"2월",Raw_Data!$AE:$AE,"용역수익")</f>
        <v>2387716</v>
      </c>
      <c r="D78" s="4" t="s">
        <v>106</v>
      </c>
    </row>
    <row r="79" spans="1:4" x14ac:dyDescent="0.3">
      <c r="A79" s="15" t="s">
        <v>99</v>
      </c>
      <c r="B79" s="6" t="s">
        <v>107</v>
      </c>
      <c r="C79" s="7">
        <f>SUMIFS(Raw_Data!$G:$G,Raw_Data!$AG:$AG,"데이세븐",Raw_Data!$AH:$AH,"2월",Raw_Data!$AE:$AE,"용역수익")</f>
        <v>500000</v>
      </c>
      <c r="D79" s="6" t="s">
        <v>108</v>
      </c>
    </row>
    <row r="80" spans="1:4" x14ac:dyDescent="0.3">
      <c r="A80" s="16" t="s">
        <v>99</v>
      </c>
      <c r="B80" s="4" t="s">
        <v>109</v>
      </c>
      <c r="C80" s="5">
        <f>SUMIFS(Raw_Data!$G:$G,Raw_Data!$AG:$AG,"카탈리스터",Raw_Data!$AH:$AH,"2월",Raw_Data!$AE:$AE,"용역수익")</f>
        <v>38446</v>
      </c>
      <c r="D80" s="4"/>
    </row>
    <row r="81" spans="1:4" x14ac:dyDescent="0.3">
      <c r="A81" s="15" t="s">
        <v>99</v>
      </c>
      <c r="B81" s="6" t="s">
        <v>110</v>
      </c>
      <c r="C81" s="7">
        <f>SUMIFS(Raw_Data!$G:$G,Raw_Data!$AG:$AG,"컴투스로카",Raw_Data!$AH:$AH,"2월",Raw_Data!$AE:$AE,"용역수익")</f>
        <v>0</v>
      </c>
      <c r="D81" s="6"/>
    </row>
    <row r="82" spans="1:4" x14ac:dyDescent="0.3">
      <c r="A82" s="16" t="s">
        <v>99</v>
      </c>
      <c r="B82" s="4" t="s">
        <v>36</v>
      </c>
      <c r="C82" s="5">
        <f>SUMIFS(Raw_Data!$G:$G,Raw_Data!$AG:$AG,"컴투스플랫폼",Raw_Data!$AH:$AH,"2월",Raw_Data!$AE:$AE,"용역수익")</f>
        <v>9242271</v>
      </c>
      <c r="D82" s="4"/>
    </row>
    <row r="83" spans="1:4" x14ac:dyDescent="0.3">
      <c r="A83" s="15" t="s">
        <v>99</v>
      </c>
      <c r="B83" s="6" t="s">
        <v>37</v>
      </c>
      <c r="C83" s="7">
        <f>SUMIFS(Raw_Data!$G:$G,Raw_Data!$AG:$AG,"컴투스홀딩스",Raw_Data!$AH:$AH,"2월",Raw_Data!$AE:$AE,"용역수익")</f>
        <v>222690116</v>
      </c>
      <c r="D83" s="6" t="s">
        <v>111</v>
      </c>
    </row>
    <row r="84" spans="1:4" x14ac:dyDescent="0.3">
      <c r="A84" s="16" t="s">
        <v>99</v>
      </c>
      <c r="B84" s="4" t="s">
        <v>112</v>
      </c>
      <c r="C84" s="5">
        <f>SUMIFS(Raw_Data!$G:$G,Raw_Data!$AG:$AG,"티키타카스튜디오",Raw_Data!$AH:$AH,"2월",Raw_Data!$AE:$AE,"용역수익")</f>
        <v>0</v>
      </c>
      <c r="D84" s="4"/>
    </row>
    <row r="85" spans="1:4" x14ac:dyDescent="0.3">
      <c r="A85" s="23" t="s">
        <v>113</v>
      </c>
      <c r="B85" s="24"/>
      <c r="C85" s="25">
        <f>SUM(C72:C84)</f>
        <v>395978340</v>
      </c>
      <c r="D85" s="26"/>
    </row>
    <row r="87" spans="1:4" x14ac:dyDescent="0.3">
      <c r="A87" s="27" t="s">
        <v>114</v>
      </c>
      <c r="B87" s="28"/>
      <c r="C87" s="12">
        <f>C35+C68+C85</f>
        <v>41952973220</v>
      </c>
      <c r="D87" s="29"/>
    </row>
  </sheetData>
  <mergeCells count="4">
    <mergeCell ref="A1:C1"/>
    <mergeCell ref="A37:D37"/>
    <mergeCell ref="A70:D70"/>
    <mergeCell ref="A3:D3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8"/>
  <sheetViews>
    <sheetView workbookViewId="0">
      <pane ySplit="2" topLeftCell="A3" activePane="bottomLeft" state="frozen"/>
      <selection pane="bottomLeft"/>
    </sheetView>
  </sheetViews>
  <sheetFormatPr defaultRowHeight="16.5" x14ac:dyDescent="0.3"/>
  <cols>
    <col min="1" max="1" width="14" customWidth="1"/>
    <col min="2" max="2" width="36" customWidth="1"/>
    <col min="3" max="3" width="20" customWidth="1"/>
    <col min="4" max="4" width="40" customWidth="1"/>
  </cols>
  <sheetData>
    <row r="1" spans="1:4" ht="24" customHeight="1" x14ac:dyDescent="0.3">
      <c r="A1" s="33" t="s">
        <v>118</v>
      </c>
      <c r="B1" s="34"/>
      <c r="C1" s="34"/>
      <c r="D1" s="13" t="s">
        <v>22</v>
      </c>
    </row>
    <row r="2" spans="1:4" ht="6" customHeight="1" x14ac:dyDescent="0.3"/>
    <row r="3" spans="1:4" x14ac:dyDescent="0.3">
      <c r="A3" s="39" t="s">
        <v>23</v>
      </c>
      <c r="B3" s="40"/>
      <c r="C3" s="40"/>
      <c r="D3" s="40"/>
    </row>
    <row r="4" spans="1:4" x14ac:dyDescent="0.3">
      <c r="A4" s="14" t="s">
        <v>24</v>
      </c>
      <c r="B4" s="14" t="s">
        <v>25</v>
      </c>
      <c r="C4" s="14" t="s">
        <v>26</v>
      </c>
      <c r="D4" s="14" t="s">
        <v>27</v>
      </c>
    </row>
    <row r="5" spans="1:4" x14ac:dyDescent="0.3">
      <c r="A5" s="15" t="s">
        <v>28</v>
      </c>
      <c r="B5" s="6" t="s">
        <v>29</v>
      </c>
      <c r="C5" s="7">
        <f>SUMIFS(Raw_Data!$G:$G,Raw_Data!$AG:$AG,"Amazon",Raw_Data!$AH:$AH,"3월",Raw_Data!$AE:$AE,"게임매출",Raw_Data!$AF:$AF,"모바일")</f>
        <v>24332100</v>
      </c>
      <c r="D5" s="6"/>
    </row>
    <row r="6" spans="1:4" x14ac:dyDescent="0.3">
      <c r="A6" s="16" t="s">
        <v>28</v>
      </c>
      <c r="B6" s="4" t="s">
        <v>15</v>
      </c>
      <c r="C6" s="5">
        <f>SUMIFS(Raw_Data!$G:$G,Raw_Data!$AG:$AG,"Beijing Raymobile",Raw_Data!$AH:$AH,"3월",Raw_Data!$AE:$AE,"게임매출",Raw_Data!$AF:$AF,"모바일")</f>
        <v>514300513</v>
      </c>
      <c r="D6" s="4"/>
    </row>
    <row r="7" spans="1:4" x14ac:dyDescent="0.3">
      <c r="A7" s="15" t="s">
        <v>28</v>
      </c>
      <c r="B7" s="6" t="s">
        <v>13</v>
      </c>
      <c r="C7" s="7">
        <f>SUMIFS(Raw_Data!$G:$G,Raw_Data!$AG:$AG,"Huawei",Raw_Data!$AH:$AH,"3월",Raw_Data!$AE:$AE,"게임매출",Raw_Data!$AF:$AF,"모바일")</f>
        <v>892934056</v>
      </c>
      <c r="D7" s="6"/>
    </row>
    <row r="8" spans="1:4" x14ac:dyDescent="0.3">
      <c r="A8" s="16" t="s">
        <v>28</v>
      </c>
      <c r="B8" s="4" t="s">
        <v>30</v>
      </c>
      <c r="C8" s="5">
        <f>SUMIFS(Raw_Data!$G:$G,Raw_Data!$AG:$AG,"Red River",Raw_Data!$AH:$AH,"3월",Raw_Data!$AE:$AE,"게임매출",Raw_Data!$AF:$AF,"모바일")</f>
        <v>86513528</v>
      </c>
      <c r="D8" s="4"/>
    </row>
    <row r="9" spans="1:4" x14ac:dyDescent="0.3">
      <c r="A9" s="15" t="s">
        <v>28</v>
      </c>
      <c r="B9" s="6" t="s">
        <v>31</v>
      </c>
      <c r="C9" s="7">
        <f>SUMIFS(Raw_Data!$G:$G,Raw_Data!$AG:$AG,"Xsolla",Raw_Data!$AH:$AH,"3월",Raw_Data!$AE:$AE,"게임매출",Raw_Data!$AF:$AF,"모바일")</f>
        <v>227048611</v>
      </c>
      <c r="D9" s="6"/>
    </row>
    <row r="10" spans="1:4" x14ac:dyDescent="0.3">
      <c r="A10" s="16" t="s">
        <v>28</v>
      </c>
      <c r="B10" s="4" t="s">
        <v>10</v>
      </c>
      <c r="C10" s="5">
        <f>SUMIFS(Raw_Data!$G:$G,Raw_Data!$AG:$AG,"구글",Raw_Data!$AH:$AH,"3월",Raw_Data!$AE:$AE,"게임매출",Raw_Data!$AF:$AF,"모바일")</f>
        <v>13732600499</v>
      </c>
      <c r="D10" s="4"/>
    </row>
    <row r="11" spans="1:4" x14ac:dyDescent="0.3">
      <c r="A11" s="15" t="s">
        <v>28</v>
      </c>
      <c r="B11" s="6" t="s">
        <v>32</v>
      </c>
      <c r="C11" s="7">
        <f>SUMIFS(Raw_Data!$G:$G,Raw_Data!$AG:$AG,"밸로프",Raw_Data!$AH:$AH,"3월",Raw_Data!$AE:$AE,"게임매출",Raw_Data!$AF:$AF,"모바일")</f>
        <v>1308148</v>
      </c>
      <c r="D11" s="6"/>
    </row>
    <row r="12" spans="1:4" x14ac:dyDescent="0.3">
      <c r="A12" s="16" t="s">
        <v>28</v>
      </c>
      <c r="B12" s="4" t="s">
        <v>33</v>
      </c>
      <c r="C12" s="5">
        <f>SUMIFS(Raw_Data!$G:$G,Raw_Data!$AG:$AG,"비바리퍼블리카",Raw_Data!$AH:$AH,"3월",Raw_Data!$AE:$AE,"게임매출",Raw_Data!$AF:$AF,"모바일")</f>
        <v>56728</v>
      </c>
      <c r="D12" s="4"/>
    </row>
    <row r="13" spans="1:4" x14ac:dyDescent="0.3">
      <c r="A13" s="15" t="s">
        <v>28</v>
      </c>
      <c r="B13" s="6" t="s">
        <v>9</v>
      </c>
      <c r="C13" s="7">
        <f>SUMIFS(Raw_Data!$G:$G,Raw_Data!$AG:$AG,"애플",Raw_Data!$AH:$AH,"3월",Raw_Data!$AE:$AE,"게임매출",Raw_Data!$AF:$AF,"모바일")</f>
        <v>17717311450</v>
      </c>
      <c r="D13" s="6"/>
    </row>
    <row r="14" spans="1:4" x14ac:dyDescent="0.3">
      <c r="A14" s="16" t="s">
        <v>28</v>
      </c>
      <c r="B14" s="4" t="s">
        <v>11</v>
      </c>
      <c r="C14" s="5">
        <f>SUMIFS(Raw_Data!$G:$G,Raw_Data!$AG:$AG,"원스토어",Raw_Data!$AH:$AH,"3월",Raw_Data!$AE:$AE,"게임매출",Raw_Data!$AF:$AF,"모바일")</f>
        <v>4309061787</v>
      </c>
      <c r="D14" s="4" t="s">
        <v>34</v>
      </c>
    </row>
    <row r="15" spans="1:4" x14ac:dyDescent="0.3">
      <c r="A15" s="15" t="s">
        <v>28</v>
      </c>
      <c r="B15" s="6" t="s">
        <v>35</v>
      </c>
      <c r="C15" s="7">
        <f>SUMIFS(Raw_Data!$G:$G,Raw_Data!$AG:$AG,"컴투스(수익이연)",Raw_Data!$AH:$AH,"3월",Raw_Data!$AE:$AE,"게임매출",Raw_Data!$AF:$AF,"모바일")</f>
        <v>-2120629176</v>
      </c>
      <c r="D15" s="6" t="s">
        <v>119</v>
      </c>
    </row>
    <row r="16" spans="1:4" x14ac:dyDescent="0.3">
      <c r="A16" s="16" t="s">
        <v>28</v>
      </c>
      <c r="B16" s="4" t="s">
        <v>36</v>
      </c>
      <c r="C16" s="5">
        <f>SUMIFS(Raw_Data!$G:$G,Raw_Data!$AG:$AG,"컴투스플랫폼",Raw_Data!$AH:$AH,"3월",Raw_Data!$AE:$AE,"게임매출",Raw_Data!$AF:$AF,"모바일")</f>
        <v>0</v>
      </c>
      <c r="D16" s="4"/>
    </row>
    <row r="17" spans="1:4" x14ac:dyDescent="0.3">
      <c r="A17" s="15" t="s">
        <v>28</v>
      </c>
      <c r="B17" s="6" t="s">
        <v>37</v>
      </c>
      <c r="C17" s="7">
        <f>SUMIFS(Raw_Data!$G:$G,Raw_Data!$AG:$AG,"컴투스홀딩스",Raw_Data!$AH:$AH,"3월",Raw_Data!$AE:$AE,"게임매출",Raw_Data!$AF:$AF,"모바일")</f>
        <v>19862221</v>
      </c>
      <c r="D17" s="6"/>
    </row>
    <row r="18" spans="1:4" x14ac:dyDescent="0.3">
      <c r="A18" s="16" t="s">
        <v>38</v>
      </c>
      <c r="B18" s="4" t="s">
        <v>14</v>
      </c>
      <c r="C18" s="5">
        <f>SUMIFS(Raw_Data!$G:$G,Raw_Data!$AG:$AG,"NHN",Raw_Data!$AH:$AH,"3월",Raw_Data!$AE:$AE,"게임매출",Raw_Data!$AF:$AF,"온라인")</f>
        <v>941888821</v>
      </c>
      <c r="D18" s="4"/>
    </row>
    <row r="19" spans="1:4" x14ac:dyDescent="0.3">
      <c r="A19" s="15" t="s">
        <v>38</v>
      </c>
      <c r="B19" s="6" t="s">
        <v>39</v>
      </c>
      <c r="C19" s="7">
        <f>SUMIFS(Raw_Data!$G:$G,Raw_Data!$AG:$AG,"Paypal",Raw_Data!$AH:$AH,"3월",Raw_Data!$AE:$AE,"게임매출",Raw_Data!$AF:$AF,"온라인")</f>
        <v>30514809</v>
      </c>
      <c r="D19" s="6"/>
    </row>
    <row r="20" spans="1:4" x14ac:dyDescent="0.3">
      <c r="A20" s="16" t="s">
        <v>38</v>
      </c>
      <c r="B20" s="4" t="s">
        <v>40</v>
      </c>
      <c r="C20" s="5">
        <f>SUMIFS(Raw_Data!$G:$G,Raw_Data!$AG:$AG,"SOFT-WORLD",Raw_Data!$AH:$AH,"3월",Raw_Data!$AE:$AE,"게임매출",Raw_Data!$AF:$AF,"온라인")</f>
        <v>496335782</v>
      </c>
      <c r="D20" s="4" t="s">
        <v>41</v>
      </c>
    </row>
    <row r="21" spans="1:4" x14ac:dyDescent="0.3">
      <c r="A21" s="15" t="s">
        <v>38</v>
      </c>
      <c r="B21" s="6" t="s">
        <v>42</v>
      </c>
      <c r="C21" s="7">
        <f>SUMIFS(Raw_Data!$G:$G,Raw_Data!$AG:$AG,"Terminal3",Raw_Data!$AH:$AH,"3월",Raw_Data!$AE:$AE,"게임매출",Raw_Data!$AF:$AF,"온라인")</f>
        <v>61819697</v>
      </c>
      <c r="D21" s="6"/>
    </row>
    <row r="22" spans="1:4" x14ac:dyDescent="0.3">
      <c r="A22" s="16" t="s">
        <v>38</v>
      </c>
      <c r="B22" s="4" t="s">
        <v>12</v>
      </c>
      <c r="C22" s="5">
        <f>SUMIFS(Raw_Data!$G:$G,Raw_Data!$AG:$AG,"Valve",Raw_Data!$AH:$AH,"3월",Raw_Data!$AE:$AE,"게임매출",Raw_Data!$AF:$AF,"온라인")</f>
        <v>1229971944</v>
      </c>
      <c r="D22" s="4"/>
    </row>
    <row r="23" spans="1:4" x14ac:dyDescent="0.3">
      <c r="A23" s="15" t="s">
        <v>38</v>
      </c>
      <c r="B23" s="6" t="s">
        <v>43</v>
      </c>
      <c r="C23" s="7">
        <f>SUMIFS(Raw_Data!$G:$G,Raw_Data!$AG:$AG,"네이버파이낸셜",Raw_Data!$AH:$AH,"3월",Raw_Data!$AE:$AE,"게임매출",Raw_Data!$AF:$AF,"온라인")</f>
        <v>794956638</v>
      </c>
      <c r="D23" s="6"/>
    </row>
    <row r="24" spans="1:4" x14ac:dyDescent="0.3">
      <c r="A24" s="16" t="s">
        <v>38</v>
      </c>
      <c r="B24" s="4" t="s">
        <v>44</v>
      </c>
      <c r="C24" s="5">
        <f>SUMIFS(Raw_Data!$G:$G,Raw_Data!$AG:$AG,"토스페이먼츠",Raw_Data!$AH:$AH,"3월",Raw_Data!$AE:$AE,"게임매출",Raw_Data!$AF:$AF,"온라인")</f>
        <v>112311727</v>
      </c>
      <c r="D24" s="4"/>
    </row>
    <row r="25" spans="1:4" x14ac:dyDescent="0.3">
      <c r="A25" s="15" t="s">
        <v>45</v>
      </c>
      <c r="B25" s="6" t="s">
        <v>46</v>
      </c>
      <c r="C25" s="7">
        <f>SUMIFS(Raw_Data!$G:$G,Raw_Data!$AG:$AG,"Admob",Raw_Data!$AH:$AH,"3월",Raw_Data!$AE:$AE,"게임매출",Raw_Data!$AF:$AF,"광고")</f>
        <v>59</v>
      </c>
      <c r="D25" s="6"/>
    </row>
    <row r="26" spans="1:4" x14ac:dyDescent="0.3">
      <c r="A26" s="16" t="s">
        <v>45</v>
      </c>
      <c r="B26" s="4" t="s">
        <v>47</v>
      </c>
      <c r="C26" s="5">
        <f>SUMIFS(Raw_Data!$G:$G,Raw_Data!$AG:$AG,"Facebook",Raw_Data!$AH:$AH,"3월",Raw_Data!$AE:$AE,"게임매출",Raw_Data!$AF:$AF,"광고")</f>
        <v>20082886</v>
      </c>
      <c r="D26" s="4"/>
    </row>
    <row r="27" spans="1:4" x14ac:dyDescent="0.3">
      <c r="A27" s="15" t="s">
        <v>45</v>
      </c>
      <c r="B27" s="6" t="s">
        <v>48</v>
      </c>
      <c r="C27" s="7">
        <f>SUMIFS(Raw_Data!$G:$G,Raw_Data!$AG:$AG,"Line",Raw_Data!$AH:$AH,"3월",Raw_Data!$AE:$AE,"게임매출",Raw_Data!$AF:$AF,"광고")</f>
        <v>1218</v>
      </c>
      <c r="D27" s="6"/>
    </row>
    <row r="28" spans="1:4" x14ac:dyDescent="0.3">
      <c r="A28" s="16" t="s">
        <v>45</v>
      </c>
      <c r="B28" s="4" t="s">
        <v>49</v>
      </c>
      <c r="C28" s="5">
        <f>SUMIFS(Raw_Data!$G:$G,Raw_Data!$AG:$AG,"넵튠",Raw_Data!$AH:$AH,"3월",Raw_Data!$AE:$AE,"게임매출",Raw_Data!$AF:$AF,"광고")</f>
        <v>93064277</v>
      </c>
      <c r="D28" s="4" t="s">
        <v>50</v>
      </c>
    </row>
    <row r="29" spans="1:4" x14ac:dyDescent="0.3">
      <c r="A29" s="15" t="s">
        <v>45</v>
      </c>
      <c r="B29" s="6" t="s">
        <v>51</v>
      </c>
      <c r="C29" s="7">
        <f>SUMIFS(Raw_Data!$G:$G,Raw_Data!$AG:$AG,"원스토어(광고)",Raw_Data!$AH:$AH,"3월",Raw_Data!$AE:$AE,"게임매출",Raw_Data!$AF:$AF,"광고")</f>
        <v>187105772</v>
      </c>
      <c r="D29" s="6" t="s">
        <v>52</v>
      </c>
    </row>
    <row r="30" spans="1:4" x14ac:dyDescent="0.3">
      <c r="A30" s="16" t="s">
        <v>53</v>
      </c>
      <c r="B30" s="4" t="s">
        <v>53</v>
      </c>
      <c r="C30" s="5">
        <f>SUMIFS(Raw_Data!$G:$G,Raw_Data!$AG:$AG,"OOTP",Raw_Data!$AH:$AH,"3월",Raw_Data!$AE:$AE,"게임매출",Raw_Data!$AF:$AF,"OOTP")</f>
        <v>6497628</v>
      </c>
      <c r="D30" s="4" t="s">
        <v>54</v>
      </c>
    </row>
    <row r="31" spans="1:4" x14ac:dyDescent="0.3">
      <c r="A31" s="8" t="s">
        <v>55</v>
      </c>
      <c r="B31" s="17"/>
      <c r="C31" s="9">
        <f>SUM(C5:C17)</f>
        <v>35404700465</v>
      </c>
      <c r="D31" s="17"/>
    </row>
    <row r="32" spans="1:4" x14ac:dyDescent="0.3">
      <c r="A32" s="8" t="s">
        <v>56</v>
      </c>
      <c r="B32" s="17"/>
      <c r="C32" s="9">
        <f>SUM(C18:C24)</f>
        <v>3667799418</v>
      </c>
      <c r="D32" s="17"/>
    </row>
    <row r="33" spans="1:4" x14ac:dyDescent="0.3">
      <c r="A33" s="8" t="s">
        <v>57</v>
      </c>
      <c r="B33" s="17"/>
      <c r="C33" s="9">
        <f>SUM(C25:C29)</f>
        <v>300254212</v>
      </c>
      <c r="D33" s="17"/>
    </row>
    <row r="34" spans="1:4" x14ac:dyDescent="0.3">
      <c r="A34" s="8" t="s">
        <v>58</v>
      </c>
      <c r="B34" s="17"/>
      <c r="C34" s="9">
        <f>SUM(C30:C30)</f>
        <v>6497628</v>
      </c>
      <c r="D34" s="17"/>
    </row>
    <row r="35" spans="1:4" x14ac:dyDescent="0.3">
      <c r="A35" s="8" t="s">
        <v>59</v>
      </c>
      <c r="B35" s="17"/>
      <c r="C35" s="9">
        <f>C31+C32+C33+C34</f>
        <v>39379251723</v>
      </c>
      <c r="D35" s="18"/>
    </row>
    <row r="37" spans="1:4" x14ac:dyDescent="0.3">
      <c r="A37" s="35" t="s">
        <v>60</v>
      </c>
      <c r="B37" s="36"/>
      <c r="C37" s="36"/>
      <c r="D37" s="36"/>
    </row>
    <row r="38" spans="1:4" x14ac:dyDescent="0.3">
      <c r="A38" s="14" t="s">
        <v>24</v>
      </c>
      <c r="B38" s="14" t="s">
        <v>25</v>
      </c>
      <c r="C38" s="14" t="s">
        <v>26</v>
      </c>
      <c r="D38" s="14" t="s">
        <v>27</v>
      </c>
    </row>
    <row r="39" spans="1:4" x14ac:dyDescent="0.3">
      <c r="A39" s="15" t="s">
        <v>61</v>
      </c>
      <c r="B39" s="6" t="s">
        <v>62</v>
      </c>
      <c r="C39" s="7">
        <f>SUMIFS(Raw_Data!$G:$G,Raw_Data!$AG:$AG,"Moye Technology",Raw_Data!$AH:$AH,"3월",Raw_Data!$AE:$AE,"기타수익",Raw_Data!$AF:$AF,"로열티수익")</f>
        <v>0</v>
      </c>
      <c r="D39" s="6"/>
    </row>
    <row r="40" spans="1:4" x14ac:dyDescent="0.3">
      <c r="A40" s="16" t="s">
        <v>61</v>
      </c>
      <c r="B40" s="4" t="s">
        <v>63</v>
      </c>
      <c r="C40" s="5">
        <f>SUMIFS(Raw_Data!$G:$G,Raw_Data!$AG:$AG,"OOTP(로열티)",Raw_Data!$AH:$AH,"3월",Raw_Data!$AE:$AE,"기타수익",Raw_Data!$AF:$AF,"로열티수익")</f>
        <v>0</v>
      </c>
      <c r="D40" s="4"/>
    </row>
    <row r="41" spans="1:4" x14ac:dyDescent="0.3">
      <c r="A41" s="15" t="s">
        <v>61</v>
      </c>
      <c r="B41" s="6" t="s">
        <v>64</v>
      </c>
      <c r="C41" s="7">
        <f>SUMIFS(Raw_Data!$G:$G,Raw_Data!$AG:$AG,"Skybound",Raw_Data!$AH:$AH,"3월",Raw_Data!$AE:$AE,"기타수익",Raw_Data!$AF:$AF,"로열티수익")</f>
        <v>0</v>
      </c>
      <c r="D41" s="6"/>
    </row>
    <row r="42" spans="1:4" x14ac:dyDescent="0.3">
      <c r="A42" s="16" t="s">
        <v>61</v>
      </c>
      <c r="B42" s="4" t="s">
        <v>65</v>
      </c>
      <c r="C42" s="5">
        <f>SUMIFS(Raw_Data!$G:$G,Raw_Data!$AG:$AG,"공게임즈",Raw_Data!$AH:$AH,"3월",Raw_Data!$AE:$AE,"기타수익",Raw_Data!$AF:$AF,"로열티수익")</f>
        <v>38159602</v>
      </c>
      <c r="D42" s="4"/>
    </row>
    <row r="43" spans="1:4" x14ac:dyDescent="0.3">
      <c r="A43" s="15" t="s">
        <v>61</v>
      </c>
      <c r="B43" s="6" t="s">
        <v>66</v>
      </c>
      <c r="C43" s="7">
        <f>SUMIFS(Raw_Data!$G:$G,Raw_Data!$AG:$AG,"네오위즈스포츠",Raw_Data!$AH:$AH,"3월",Raw_Data!$AE:$AE,"기타수익",Raw_Data!$AF:$AF,"로열티수익")</f>
        <v>56637702</v>
      </c>
      <c r="D43" s="6"/>
    </row>
    <row r="44" spans="1:4" x14ac:dyDescent="0.3">
      <c r="A44" s="16" t="s">
        <v>61</v>
      </c>
      <c r="B44" s="4" t="s">
        <v>67</v>
      </c>
      <c r="C44" s="5">
        <f>SUMIFS(Raw_Data!$G:$G,Raw_Data!$AG:$AG,"밸로프(로열티)",Raw_Data!$AH:$AH,"3월",Raw_Data!$AE:$AE,"기타수익",Raw_Data!$AF:$AF,"로열티수익")</f>
        <v>28445172</v>
      </c>
      <c r="D44" s="4" t="s">
        <v>120</v>
      </c>
    </row>
    <row r="45" spans="1:4" x14ac:dyDescent="0.3">
      <c r="A45" s="15" t="s">
        <v>61</v>
      </c>
      <c r="B45" s="6" t="s">
        <v>68</v>
      </c>
      <c r="C45" s="7">
        <f>SUMIFS(Raw_Data!$G:$G,Raw_Data!$AG:$AG,"에이스프로젝트",Raw_Data!$AH:$AH,"3월",Raw_Data!$AE:$AE,"기타수익",Raw_Data!$AF:$AF,"로열티수익")</f>
        <v>11340931</v>
      </c>
      <c r="D45" s="6"/>
    </row>
    <row r="46" spans="1:4" x14ac:dyDescent="0.3">
      <c r="A46" s="16" t="s">
        <v>61</v>
      </c>
      <c r="B46" s="4" t="s">
        <v>69</v>
      </c>
      <c r="C46" s="5">
        <f>SUMIFS(Raw_Data!$G:$G,Raw_Data!$AG:$AG,"위메이드",Raw_Data!$AH:$AH,"3월",Raw_Data!$AE:$AE,"기타수익",Raw_Data!$AF:$AF,"로열티수익")</f>
        <v>1631962</v>
      </c>
      <c r="D46" s="4" t="s">
        <v>121</v>
      </c>
    </row>
    <row r="47" spans="1:4" x14ac:dyDescent="0.3">
      <c r="A47" s="15" t="s">
        <v>61</v>
      </c>
      <c r="B47" s="6" t="s">
        <v>70</v>
      </c>
      <c r="C47" s="7">
        <f>SUMIFS(Raw_Data!$G:$G,Raw_Data!$AG:$AG,"케나즈",Raw_Data!$AH:$AH,"3월",Raw_Data!$AE:$AE,"기타수익",Raw_Data!$AF:$AF,"로열티수익")</f>
        <v>0</v>
      </c>
      <c r="D47" s="6"/>
    </row>
    <row r="48" spans="1:4" x14ac:dyDescent="0.3">
      <c r="A48" s="16" t="s">
        <v>61</v>
      </c>
      <c r="B48" s="4" t="s">
        <v>71</v>
      </c>
      <c r="C48" s="5">
        <f>SUMIFS(Raw_Data!$G:$G,Raw_Data!$AG:$AG,"해긴",Raw_Data!$AH:$AH,"3월",Raw_Data!$AE:$AE,"기타수익",Raw_Data!$AF:$AF,"로열티수익")</f>
        <v>0</v>
      </c>
      <c r="D48" s="4"/>
    </row>
    <row r="49" spans="1:4" x14ac:dyDescent="0.3">
      <c r="A49" s="15" t="s">
        <v>16</v>
      </c>
      <c r="B49" s="6" t="s">
        <v>72</v>
      </c>
      <c r="C49" s="7">
        <f>SUMIFS(Raw_Data!$G:$G,Raw_Data!$AG:$AG,"CJ올리브영",Raw_Data!$AH:$AH,"3월",Raw_Data!$AE:$AE,"기타수익",Raw_Data!$AF:$AF,"기타")</f>
        <v>0</v>
      </c>
      <c r="D49" s="6"/>
    </row>
    <row r="50" spans="1:4" x14ac:dyDescent="0.3">
      <c r="A50" s="16" t="s">
        <v>16</v>
      </c>
      <c r="B50" s="4" t="s">
        <v>73</v>
      </c>
      <c r="C50" s="5">
        <f>SUMIFS(Raw_Data!$G:$G,Raw_Data!$AG:$AG,"MetaMagnet",Raw_Data!$AH:$AH,"3월",Raw_Data!$AE:$AE,"기타수익",Raw_Data!$AF:$AF,"기타")</f>
        <v>0</v>
      </c>
      <c r="D50" s="4"/>
    </row>
    <row r="51" spans="1:4" x14ac:dyDescent="0.3">
      <c r="A51" s="15" t="s">
        <v>16</v>
      </c>
      <c r="B51" s="6" t="s">
        <v>74</v>
      </c>
      <c r="C51" s="7">
        <f>SUMIFS(Raw_Data!$G:$G,Raw_Data!$AG:$AG,"OASYS",Raw_Data!$AH:$AH,"3월",Raw_Data!$AE:$AE,"기타수익",Raw_Data!$AF:$AF,"기타")</f>
        <v>0</v>
      </c>
      <c r="D51" s="6"/>
    </row>
    <row r="52" spans="1:4" x14ac:dyDescent="0.3">
      <c r="A52" s="16" t="s">
        <v>16</v>
      </c>
      <c r="B52" s="4" t="s">
        <v>75</v>
      </c>
      <c r="C52" s="5">
        <f>SUMIFS(Raw_Data!$G:$G,Raw_Data!$AG:$AG,"SBTM",Raw_Data!$AH:$AH,"3월",Raw_Data!$AE:$AE,"기타수익",Raw_Data!$AF:$AF,"기타")</f>
        <v>0</v>
      </c>
      <c r="D52" s="4"/>
    </row>
    <row r="53" spans="1:4" x14ac:dyDescent="0.3">
      <c r="A53" s="15" t="s">
        <v>16</v>
      </c>
      <c r="B53" s="6" t="s">
        <v>76</v>
      </c>
      <c r="C53" s="7">
        <f>SUMIFS(Raw_Data!$G:$G,Raw_Data!$AG:$AG,"게임테일즈",Raw_Data!$AH:$AH,"3월",Raw_Data!$AE:$AE,"기타수익",Raw_Data!$AF:$AF,"기타")</f>
        <v>44648649</v>
      </c>
      <c r="D53" s="6" t="s">
        <v>117</v>
      </c>
    </row>
    <row r="54" spans="1:4" x14ac:dyDescent="0.3">
      <c r="A54" s="16" t="s">
        <v>16</v>
      </c>
      <c r="B54" s="4" t="s">
        <v>122</v>
      </c>
      <c r="C54" s="5">
        <f>SUMIFS(Raw_Data!$G:$G,Raw_Data!$AG:$AG,"과천펜타원 관리단",Raw_Data!$AH:$AH,"3월",Raw_Data!$AE:$AE,"기타수익",Raw_Data!$AF:$AF,"기타")</f>
        <v>0</v>
      </c>
      <c r="D54" s="4" t="s">
        <v>123</v>
      </c>
    </row>
    <row r="55" spans="1:4" x14ac:dyDescent="0.3">
      <c r="A55" s="15" t="s">
        <v>16</v>
      </c>
      <c r="B55" s="6" t="s">
        <v>77</v>
      </c>
      <c r="C55" s="7">
        <f>SUMIFS(Raw_Data!$G:$G,Raw_Data!$AG:$AG,"넷마블(기타)",Raw_Data!$AH:$AH,"3월",Raw_Data!$AE:$AE,"기타수익",Raw_Data!$AF:$AF,"기타")</f>
        <v>131265985</v>
      </c>
      <c r="D55" s="6"/>
    </row>
    <row r="56" spans="1:4" x14ac:dyDescent="0.3">
      <c r="A56" s="16" t="s">
        <v>16</v>
      </c>
      <c r="B56" s="4" t="s">
        <v>78</v>
      </c>
      <c r="C56" s="5">
        <f>SUMIFS(Raw_Data!$G:$G,Raw_Data!$AG:$AG,"데이세븐(기타)",Raw_Data!$AH:$AH,"3월",Raw_Data!$AE:$AE,"기타수익",Raw_Data!$AF:$AF,"기타")</f>
        <v>175000</v>
      </c>
      <c r="D56" s="4" t="s">
        <v>79</v>
      </c>
    </row>
    <row r="57" spans="1:4" x14ac:dyDescent="0.3">
      <c r="A57" s="15" t="s">
        <v>16</v>
      </c>
      <c r="B57" s="6" t="s">
        <v>80</v>
      </c>
      <c r="C57" s="7">
        <f>SUMIFS(Raw_Data!$G:$G,Raw_Data!$AG:$AG,"링티",Raw_Data!$AH:$AH,"3월",Raw_Data!$AE:$AE,"기타수익",Raw_Data!$AF:$AF,"기타")</f>
        <v>0</v>
      </c>
      <c r="D57" s="6"/>
    </row>
    <row r="58" spans="1:4" x14ac:dyDescent="0.3">
      <c r="A58" s="16" t="s">
        <v>16</v>
      </c>
      <c r="B58" s="4" t="s">
        <v>81</v>
      </c>
      <c r="C58" s="5">
        <f>SUMIFS(Raw_Data!$G:$G,Raw_Data!$AG:$AG,"비즈마켓",Raw_Data!$AH:$AH,"3월",Raw_Data!$AE:$AE,"기타수익",Raw_Data!$AF:$AF,"기타")</f>
        <v>0</v>
      </c>
      <c r="D58" s="4"/>
    </row>
    <row r="59" spans="1:4" x14ac:dyDescent="0.3">
      <c r="A59" s="15" t="s">
        <v>16</v>
      </c>
      <c r="B59" s="6" t="s">
        <v>82</v>
      </c>
      <c r="C59" s="7">
        <f>SUMIFS(Raw_Data!$G:$G,Raw_Data!$AG:$AG,"삼성화재",Raw_Data!$AH:$AH,"3월",Raw_Data!$AE:$AE,"기타수익",Raw_Data!$AF:$AF,"기타")</f>
        <v>0</v>
      </c>
      <c r="D59" s="6"/>
    </row>
    <row r="60" spans="1:4" x14ac:dyDescent="0.3">
      <c r="A60" s="16" t="s">
        <v>16</v>
      </c>
      <c r="B60" s="4" t="s">
        <v>83</v>
      </c>
      <c r="C60" s="5">
        <f>SUMIFS(Raw_Data!$G:$G,Raw_Data!$AG:$AG,"에스비에스콘텐츠허브",Raw_Data!$AH:$AH,"3월",Raw_Data!$AE:$AE,"기타수익",Raw_Data!$AF:$AF,"기타")</f>
        <v>308257</v>
      </c>
      <c r="D60" s="4" t="s">
        <v>84</v>
      </c>
    </row>
    <row r="61" spans="1:4" x14ac:dyDescent="0.3">
      <c r="A61" s="15" t="s">
        <v>16</v>
      </c>
      <c r="B61" s="6" t="s">
        <v>85</v>
      </c>
      <c r="C61" s="7">
        <f>SUMIFS(Raw_Data!$G:$G,Raw_Data!$AG:$AG,"오내피플",Raw_Data!$AH:$AH,"3월",Raw_Data!$AE:$AE,"기타수익",Raw_Data!$AF:$AF,"기타")</f>
        <v>0</v>
      </c>
      <c r="D61" s="6"/>
    </row>
    <row r="62" spans="1:4" x14ac:dyDescent="0.3">
      <c r="A62" s="16" t="s">
        <v>16</v>
      </c>
      <c r="B62" s="4" t="s">
        <v>86</v>
      </c>
      <c r="C62" s="5">
        <f>SUMIFS(Raw_Data!$G:$G,Raw_Data!$AG:$AG,"인케이코리아",Raw_Data!$AH:$AH,"3월",Raw_Data!$AE:$AE,"기타수익",Raw_Data!$AF:$AF,"기타")</f>
        <v>0</v>
      </c>
      <c r="D62" s="4"/>
    </row>
    <row r="63" spans="1:4" x14ac:dyDescent="0.3">
      <c r="A63" s="15" t="s">
        <v>16</v>
      </c>
      <c r="B63" s="6" t="s">
        <v>87</v>
      </c>
      <c r="C63" s="7">
        <f>SUMIFS(Raw_Data!$G:$G,Raw_Data!$AG:$AG,"카탈리스터(기타)",Raw_Data!$AH:$AH,"3월",Raw_Data!$AE:$AE,"기타수익",Raw_Data!$AF:$AF,"기타")</f>
        <v>875503</v>
      </c>
      <c r="D63" s="6" t="s">
        <v>88</v>
      </c>
    </row>
    <row r="64" spans="1:4" x14ac:dyDescent="0.3">
      <c r="A64" s="16" t="s">
        <v>16</v>
      </c>
      <c r="B64" s="4" t="s">
        <v>89</v>
      </c>
      <c r="C64" s="5">
        <f>SUMIFS(Raw_Data!$G:$G,Raw_Data!$AG:$AG,"컴투스로카(기타)",Raw_Data!$AH:$AH,"3월",Raw_Data!$AE:$AE,"기타수익",Raw_Data!$AF:$AF,"기타")</f>
        <v>0</v>
      </c>
      <c r="D64" s="4"/>
    </row>
    <row r="65" spans="1:4" x14ac:dyDescent="0.3">
      <c r="A65" s="15" t="s">
        <v>16</v>
      </c>
      <c r="B65" s="6" t="s">
        <v>90</v>
      </c>
      <c r="C65" s="7">
        <f>SUMIFS(Raw_Data!$G:$G,Raw_Data!$AG:$AG,"컴투스플랫폼(기타)",Raw_Data!$AH:$AH,"3월",Raw_Data!$AE:$AE,"기타수익",Raw_Data!$AF:$AF,"기타")</f>
        <v>32665420</v>
      </c>
      <c r="D65" s="6" t="s">
        <v>91</v>
      </c>
    </row>
    <row r="66" spans="1:4" x14ac:dyDescent="0.3">
      <c r="A66" s="16" t="s">
        <v>16</v>
      </c>
      <c r="B66" s="4" t="s">
        <v>92</v>
      </c>
      <c r="C66" s="5">
        <f>SUMIFS(Raw_Data!$G:$G,Raw_Data!$AG:$AG,"컴투스홀딩스(기타)",Raw_Data!$AH:$AH,"3월",Raw_Data!$AE:$AE,"기타수익",Raw_Data!$AF:$AF,"기타")</f>
        <v>26995684</v>
      </c>
      <c r="D66" s="4" t="s">
        <v>93</v>
      </c>
    </row>
    <row r="67" spans="1:4" x14ac:dyDescent="0.3">
      <c r="A67" s="15" t="s">
        <v>16</v>
      </c>
      <c r="B67" s="6" t="s">
        <v>94</v>
      </c>
      <c r="C67" s="7">
        <f>SUMIFS(Raw_Data!$G:$G,Raw_Data!$AG:$AG,"하이브로",Raw_Data!$AH:$AH,"3월",Raw_Data!$AE:$AE,"기타수익",Raw_Data!$AF:$AF,"기타")</f>
        <v>19520952</v>
      </c>
      <c r="D67" s="6" t="s">
        <v>95</v>
      </c>
    </row>
    <row r="68" spans="1:4" x14ac:dyDescent="0.3">
      <c r="A68" s="16" t="s">
        <v>16</v>
      </c>
      <c r="B68" s="4" t="s">
        <v>96</v>
      </c>
      <c r="C68" s="5">
        <f>SUMIFS(Raw_Data!$G:$G,Raw_Data!$AG:$AG,"한국문화진흥",Raw_Data!$AH:$AH,"3월",Raw_Data!$AE:$AE,"기타수익",Raw_Data!$AF:$AF,"기타")</f>
        <v>0</v>
      </c>
      <c r="D68" s="4"/>
    </row>
    <row r="69" spans="1:4" x14ac:dyDescent="0.3">
      <c r="A69" s="19" t="s">
        <v>97</v>
      </c>
      <c r="B69" s="20"/>
      <c r="C69" s="21">
        <f>SUM(C39:C48,C49:C68)</f>
        <v>392670819</v>
      </c>
      <c r="D69" s="22"/>
    </row>
    <row r="71" spans="1:4" x14ac:dyDescent="0.3">
      <c r="A71" s="37" t="s">
        <v>98</v>
      </c>
      <c r="B71" s="38"/>
      <c r="C71" s="38"/>
      <c r="D71" s="38"/>
    </row>
    <row r="72" spans="1:4" x14ac:dyDescent="0.3">
      <c r="A72" s="14" t="s">
        <v>24</v>
      </c>
      <c r="B72" s="14" t="s">
        <v>25</v>
      </c>
      <c r="C72" s="14" t="s">
        <v>26</v>
      </c>
      <c r="D72" s="14" t="s">
        <v>27</v>
      </c>
    </row>
    <row r="73" spans="1:4" x14ac:dyDescent="0.3">
      <c r="A73" s="15" t="s">
        <v>99</v>
      </c>
      <c r="B73" s="6" t="s">
        <v>100</v>
      </c>
      <c r="C73" s="7">
        <f>SUMIFS(Raw_Data!$G:$G,Raw_Data!$AG:$AG,"Com2uS Europe",Raw_Data!$AH:$AH,"3월",Raw_Data!$AE:$AE,"용역수익")</f>
        <v>0</v>
      </c>
      <c r="D73" s="6"/>
    </row>
    <row r="74" spans="1:4" x14ac:dyDescent="0.3">
      <c r="A74" s="16" t="s">
        <v>99</v>
      </c>
      <c r="B74" s="4" t="s">
        <v>101</v>
      </c>
      <c r="C74" s="5">
        <f>SUMIFS(Raw_Data!$G:$G,Raw_Data!$AG:$AG,"Com2uS Japan",Raw_Data!$AH:$AH,"3월",Raw_Data!$AE:$AE,"용역수익")</f>
        <v>0</v>
      </c>
      <c r="D74" s="4"/>
    </row>
    <row r="75" spans="1:4" x14ac:dyDescent="0.3">
      <c r="A75" s="15" t="s">
        <v>99</v>
      </c>
      <c r="B75" s="6" t="s">
        <v>102</v>
      </c>
      <c r="C75" s="7">
        <f>SUMIFS(Raw_Data!$G:$G,Raw_Data!$AG:$AG,"Com2uS Taiwan",Raw_Data!$AH:$AH,"3월",Raw_Data!$AE:$AE,"용역수익")</f>
        <v>0</v>
      </c>
      <c r="D75" s="6"/>
    </row>
    <row r="76" spans="1:4" x14ac:dyDescent="0.3">
      <c r="A76" s="16" t="s">
        <v>99</v>
      </c>
      <c r="B76" s="4" t="s">
        <v>103</v>
      </c>
      <c r="C76" s="5">
        <f>SUMIFS(Raw_Data!$G:$G,Raw_Data!$AG:$AG,"Com2uS USA",Raw_Data!$AH:$AH,"3월",Raw_Data!$AE:$AE,"용역수익")</f>
        <v>33116837</v>
      </c>
      <c r="D76" s="4"/>
    </row>
    <row r="77" spans="1:4" x14ac:dyDescent="0.3">
      <c r="A77" s="15" t="s">
        <v>99</v>
      </c>
      <c r="B77" s="6" t="s">
        <v>73</v>
      </c>
      <c r="C77" s="7">
        <f>SUMIFS(Raw_Data!$G:$G,Raw_Data!$AG:$AG,"MetaMagnet",Raw_Data!$AH:$AH,"3월",Raw_Data!$AE:$AE,"용역수익")</f>
        <v>45974288</v>
      </c>
      <c r="D77" s="6" t="s">
        <v>104</v>
      </c>
    </row>
    <row r="78" spans="1:4" x14ac:dyDescent="0.3">
      <c r="A78" s="16" t="s">
        <v>99</v>
      </c>
      <c r="B78" s="4" t="s">
        <v>74</v>
      </c>
      <c r="C78" s="5">
        <f>SUMIFS(Raw_Data!$G:$G,Raw_Data!$AG:$AG,"OASYS",Raw_Data!$AH:$AH,"3월",Raw_Data!$AE:$AE,"용역수익")</f>
        <v>49554662</v>
      </c>
      <c r="D78" s="4" t="s">
        <v>104</v>
      </c>
    </row>
    <row r="79" spans="1:4" x14ac:dyDescent="0.3">
      <c r="A79" s="15" t="s">
        <v>99</v>
      </c>
      <c r="B79" s="6" t="s">
        <v>105</v>
      </c>
      <c r="C79" s="7">
        <f>SUMIFS(Raw_Data!$G:$G,Raw_Data!$AG:$AG,"OOTP(용역)",Raw_Data!$AH:$AH,"3월",Raw_Data!$AE:$AE,"용역수익")</f>
        <v>2387716</v>
      </c>
      <c r="D79" s="6" t="s">
        <v>106</v>
      </c>
    </row>
    <row r="80" spans="1:4" x14ac:dyDescent="0.3">
      <c r="A80" s="16" t="s">
        <v>99</v>
      </c>
      <c r="B80" s="4" t="s">
        <v>107</v>
      </c>
      <c r="C80" s="5">
        <f>SUMIFS(Raw_Data!$G:$G,Raw_Data!$AG:$AG,"데이세븐",Raw_Data!$AH:$AH,"3월",Raw_Data!$AE:$AE,"용역수익")</f>
        <v>500000</v>
      </c>
      <c r="D80" s="4" t="s">
        <v>108</v>
      </c>
    </row>
    <row r="81" spans="1:4" x14ac:dyDescent="0.3">
      <c r="A81" s="15" t="s">
        <v>99</v>
      </c>
      <c r="B81" s="6" t="s">
        <v>109</v>
      </c>
      <c r="C81" s="7">
        <f>SUMIFS(Raw_Data!$G:$G,Raw_Data!$AG:$AG,"카탈리스터",Raw_Data!$AH:$AH,"3월",Raw_Data!$AE:$AE,"용역수익")</f>
        <v>2740330</v>
      </c>
      <c r="D81" s="6"/>
    </row>
    <row r="82" spans="1:4" x14ac:dyDescent="0.3">
      <c r="A82" s="16" t="s">
        <v>99</v>
      </c>
      <c r="B82" s="4" t="s">
        <v>110</v>
      </c>
      <c r="C82" s="5">
        <f>SUMIFS(Raw_Data!$G:$G,Raw_Data!$AG:$AG,"컴투스로카",Raw_Data!$AH:$AH,"3월",Raw_Data!$AE:$AE,"용역수익")</f>
        <v>0</v>
      </c>
      <c r="D82" s="4"/>
    </row>
    <row r="83" spans="1:4" x14ac:dyDescent="0.3">
      <c r="A83" s="15" t="s">
        <v>99</v>
      </c>
      <c r="B83" s="6" t="s">
        <v>36</v>
      </c>
      <c r="C83" s="7">
        <f>SUMIFS(Raw_Data!$G:$G,Raw_Data!$AG:$AG,"컴투스플랫폼",Raw_Data!$AH:$AH,"3월",Raw_Data!$AE:$AE,"용역수익")</f>
        <v>22166095</v>
      </c>
      <c r="D83" s="6"/>
    </row>
    <row r="84" spans="1:4" x14ac:dyDescent="0.3">
      <c r="A84" s="16" t="s">
        <v>99</v>
      </c>
      <c r="B84" s="4" t="s">
        <v>37</v>
      </c>
      <c r="C84" s="5">
        <f>SUMIFS(Raw_Data!$G:$G,Raw_Data!$AG:$AG,"컴투스홀딩스",Raw_Data!$AH:$AH,"3월",Raw_Data!$AE:$AE,"용역수익")</f>
        <v>223572659</v>
      </c>
      <c r="D84" s="4" t="s">
        <v>111</v>
      </c>
    </row>
    <row r="85" spans="1:4" x14ac:dyDescent="0.3">
      <c r="A85" s="15" t="s">
        <v>99</v>
      </c>
      <c r="B85" s="6" t="s">
        <v>112</v>
      </c>
      <c r="C85" s="7">
        <f>SUMIFS(Raw_Data!$G:$G,Raw_Data!$AG:$AG,"티키타카스튜디오",Raw_Data!$AH:$AH,"3월",Raw_Data!$AE:$AE,"용역수익")</f>
        <v>0</v>
      </c>
      <c r="D85" s="6"/>
    </row>
    <row r="86" spans="1:4" x14ac:dyDescent="0.3">
      <c r="A86" s="23" t="s">
        <v>113</v>
      </c>
      <c r="B86" s="24"/>
      <c r="C86" s="25">
        <f>SUM(C73:C85)</f>
        <v>380012587</v>
      </c>
      <c r="D86" s="26"/>
    </row>
    <row r="88" spans="1:4" x14ac:dyDescent="0.3">
      <c r="A88" s="27" t="s">
        <v>114</v>
      </c>
      <c r="B88" s="28"/>
      <c r="C88" s="12">
        <f>C35+C69+C86</f>
        <v>40151935129</v>
      </c>
      <c r="D88" s="29"/>
    </row>
  </sheetData>
  <mergeCells count="4">
    <mergeCell ref="A1:C1"/>
    <mergeCell ref="A37:D37"/>
    <mergeCell ref="A3:D3"/>
    <mergeCell ref="A71:D71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7"/>
  <sheetViews>
    <sheetView workbookViewId="0">
      <pane ySplit="2" topLeftCell="A3" activePane="bottomLeft" state="frozen"/>
      <selection pane="bottomLeft"/>
    </sheetView>
  </sheetViews>
  <sheetFormatPr defaultRowHeight="16.5" x14ac:dyDescent="0.3"/>
  <cols>
    <col min="1" max="1" width="14" customWidth="1"/>
    <col min="2" max="2" width="36" customWidth="1"/>
    <col min="3" max="3" width="20" customWidth="1"/>
    <col min="4" max="4" width="40" customWidth="1"/>
  </cols>
  <sheetData>
    <row r="1" spans="1:4" ht="24" customHeight="1" x14ac:dyDescent="0.3">
      <c r="A1" s="33" t="s">
        <v>124</v>
      </c>
      <c r="B1" s="34"/>
      <c r="C1" s="34"/>
      <c r="D1" s="13" t="s">
        <v>22</v>
      </c>
    </row>
    <row r="2" spans="1:4" ht="6" customHeight="1" x14ac:dyDescent="0.3"/>
    <row r="3" spans="1:4" x14ac:dyDescent="0.3">
      <c r="A3" s="39" t="s">
        <v>23</v>
      </c>
      <c r="B3" s="40"/>
      <c r="C3" s="40"/>
      <c r="D3" s="40"/>
    </row>
    <row r="4" spans="1:4" x14ac:dyDescent="0.3">
      <c r="A4" s="14" t="s">
        <v>24</v>
      </c>
      <c r="B4" s="14" t="s">
        <v>25</v>
      </c>
      <c r="C4" s="14" t="s">
        <v>26</v>
      </c>
      <c r="D4" s="14" t="s">
        <v>27</v>
      </c>
    </row>
    <row r="5" spans="1:4" x14ac:dyDescent="0.3">
      <c r="A5" s="15" t="s">
        <v>28</v>
      </c>
      <c r="B5" s="6" t="s">
        <v>29</v>
      </c>
      <c r="C5" s="7">
        <f>SUMIFS(Raw_Data!$G:$G,Raw_Data!$AG:$AG,"Amazon",Raw_Data!$AH:$AH,"4월",Raw_Data!$AE:$AE,"게임매출",Raw_Data!$AF:$AF,"모바일")</f>
        <v>22927202</v>
      </c>
      <c r="D5" s="6"/>
    </row>
    <row r="6" spans="1:4" x14ac:dyDescent="0.3">
      <c r="A6" s="16" t="s">
        <v>28</v>
      </c>
      <c r="B6" s="4" t="s">
        <v>15</v>
      </c>
      <c r="C6" s="5">
        <f>SUMIFS(Raw_Data!$G:$G,Raw_Data!$AG:$AG,"Beijing Raymobile",Raw_Data!$AH:$AH,"4월",Raw_Data!$AE:$AE,"게임매출",Raw_Data!$AF:$AF,"모바일")</f>
        <v>660380514</v>
      </c>
      <c r="D6" s="4"/>
    </row>
    <row r="7" spans="1:4" x14ac:dyDescent="0.3">
      <c r="A7" s="15" t="s">
        <v>28</v>
      </c>
      <c r="B7" s="6" t="s">
        <v>13</v>
      </c>
      <c r="C7" s="7">
        <f>SUMIFS(Raw_Data!$G:$G,Raw_Data!$AG:$AG,"Huawei",Raw_Data!$AH:$AH,"4월",Raw_Data!$AE:$AE,"게임매출",Raw_Data!$AF:$AF,"모바일")</f>
        <v>1120021474</v>
      </c>
      <c r="D7" s="6"/>
    </row>
    <row r="8" spans="1:4" x14ac:dyDescent="0.3">
      <c r="A8" s="16" t="s">
        <v>28</v>
      </c>
      <c r="B8" s="4" t="s">
        <v>30</v>
      </c>
      <c r="C8" s="5">
        <f>SUMIFS(Raw_Data!$G:$G,Raw_Data!$AG:$AG,"Red River",Raw_Data!$AH:$AH,"4월",Raw_Data!$AE:$AE,"게임매출",Raw_Data!$AF:$AF,"모바일")</f>
        <v>-47832803</v>
      </c>
      <c r="D8" s="4"/>
    </row>
    <row r="9" spans="1:4" x14ac:dyDescent="0.3">
      <c r="A9" s="15" t="s">
        <v>28</v>
      </c>
      <c r="B9" s="6" t="s">
        <v>31</v>
      </c>
      <c r="C9" s="7">
        <f>SUMIFS(Raw_Data!$G:$G,Raw_Data!$AG:$AG,"Xsolla",Raw_Data!$AH:$AH,"4월",Raw_Data!$AE:$AE,"게임매출",Raw_Data!$AF:$AF,"모바일")</f>
        <v>303164011</v>
      </c>
      <c r="D9" s="6"/>
    </row>
    <row r="10" spans="1:4" x14ac:dyDescent="0.3">
      <c r="A10" s="16" t="s">
        <v>28</v>
      </c>
      <c r="B10" s="4" t="s">
        <v>10</v>
      </c>
      <c r="C10" s="5">
        <f>SUMIFS(Raw_Data!$G:$G,Raw_Data!$AG:$AG,"구글",Raw_Data!$AH:$AH,"4월",Raw_Data!$AE:$AE,"게임매출",Raw_Data!$AF:$AF,"모바일")</f>
        <v>16225336835</v>
      </c>
      <c r="D10" s="4"/>
    </row>
    <row r="11" spans="1:4" x14ac:dyDescent="0.3">
      <c r="A11" s="15" t="s">
        <v>28</v>
      </c>
      <c r="B11" s="6" t="s">
        <v>32</v>
      </c>
      <c r="C11" s="7">
        <f>SUMIFS(Raw_Data!$G:$G,Raw_Data!$AG:$AG,"밸로프",Raw_Data!$AH:$AH,"4월",Raw_Data!$AE:$AE,"게임매출",Raw_Data!$AF:$AF,"모바일")</f>
        <v>1662927</v>
      </c>
      <c r="D11" s="6"/>
    </row>
    <row r="12" spans="1:4" x14ac:dyDescent="0.3">
      <c r="A12" s="16" t="s">
        <v>28</v>
      </c>
      <c r="B12" s="4" t="s">
        <v>33</v>
      </c>
      <c r="C12" s="5">
        <f>SUMIFS(Raw_Data!$G:$G,Raw_Data!$AG:$AG,"비바리퍼블리카",Raw_Data!$AH:$AH,"4월",Raw_Data!$AE:$AE,"게임매출",Raw_Data!$AF:$AF,"모바일")</f>
        <v>13637</v>
      </c>
      <c r="D12" s="4"/>
    </row>
    <row r="13" spans="1:4" x14ac:dyDescent="0.3">
      <c r="A13" s="15" t="s">
        <v>28</v>
      </c>
      <c r="B13" s="6" t="s">
        <v>9</v>
      </c>
      <c r="C13" s="7">
        <f>SUMIFS(Raw_Data!$G:$G,Raw_Data!$AG:$AG,"애플",Raw_Data!$AH:$AH,"4월",Raw_Data!$AE:$AE,"게임매출",Raw_Data!$AF:$AF,"모바일")</f>
        <v>19327237511</v>
      </c>
      <c r="D13" s="6"/>
    </row>
    <row r="14" spans="1:4" x14ac:dyDescent="0.3">
      <c r="A14" s="16" t="s">
        <v>28</v>
      </c>
      <c r="B14" s="4" t="s">
        <v>11</v>
      </c>
      <c r="C14" s="5">
        <f>SUMIFS(Raw_Data!$G:$G,Raw_Data!$AG:$AG,"원스토어",Raw_Data!$AH:$AH,"4월",Raw_Data!$AE:$AE,"게임매출",Raw_Data!$AF:$AF,"모바일")</f>
        <v>4384116240</v>
      </c>
      <c r="D14" s="4" t="s">
        <v>34</v>
      </c>
    </row>
    <row r="15" spans="1:4" x14ac:dyDescent="0.3">
      <c r="A15" s="15" t="s">
        <v>28</v>
      </c>
      <c r="B15" s="6" t="s">
        <v>35</v>
      </c>
      <c r="C15" s="7">
        <f>SUMIFS(Raw_Data!$G:$G,Raw_Data!$AG:$AG,"컴투스(수익이연)",Raw_Data!$AH:$AH,"4월",Raw_Data!$AE:$AE,"게임매출",Raw_Data!$AF:$AF,"모바일")</f>
        <v>0</v>
      </c>
      <c r="D15" s="6"/>
    </row>
    <row r="16" spans="1:4" x14ac:dyDescent="0.3">
      <c r="A16" s="16" t="s">
        <v>28</v>
      </c>
      <c r="B16" s="4" t="s">
        <v>36</v>
      </c>
      <c r="C16" s="5">
        <f>SUMIFS(Raw_Data!$G:$G,Raw_Data!$AG:$AG,"컴투스플랫폼",Raw_Data!$AH:$AH,"4월",Raw_Data!$AE:$AE,"게임매출",Raw_Data!$AF:$AF,"모바일")</f>
        <v>0</v>
      </c>
      <c r="D16" s="4"/>
    </row>
    <row r="17" spans="1:4" x14ac:dyDescent="0.3">
      <c r="A17" s="15" t="s">
        <v>28</v>
      </c>
      <c r="B17" s="6" t="s">
        <v>37</v>
      </c>
      <c r="C17" s="7">
        <f>SUMIFS(Raw_Data!$G:$G,Raw_Data!$AG:$AG,"컴투스홀딩스",Raw_Data!$AH:$AH,"4월",Raw_Data!$AE:$AE,"게임매출",Raw_Data!$AF:$AF,"모바일")</f>
        <v>32651198</v>
      </c>
      <c r="D17" s="6"/>
    </row>
    <row r="18" spans="1:4" x14ac:dyDescent="0.3">
      <c r="A18" s="16" t="s">
        <v>38</v>
      </c>
      <c r="B18" s="4" t="s">
        <v>14</v>
      </c>
      <c r="C18" s="5">
        <f>SUMIFS(Raw_Data!$G:$G,Raw_Data!$AG:$AG,"NHN",Raw_Data!$AH:$AH,"4월",Raw_Data!$AE:$AE,"게임매출",Raw_Data!$AF:$AF,"온라인")</f>
        <v>1159080458</v>
      </c>
      <c r="D18" s="4"/>
    </row>
    <row r="19" spans="1:4" x14ac:dyDescent="0.3">
      <c r="A19" s="15" t="s">
        <v>38</v>
      </c>
      <c r="B19" s="6" t="s">
        <v>39</v>
      </c>
      <c r="C19" s="7">
        <f>SUMIFS(Raw_Data!$G:$G,Raw_Data!$AG:$AG,"Paypal",Raw_Data!$AH:$AH,"4월",Raw_Data!$AE:$AE,"게임매출",Raw_Data!$AF:$AF,"온라인")</f>
        <v>67063986</v>
      </c>
      <c r="D19" s="6"/>
    </row>
    <row r="20" spans="1:4" x14ac:dyDescent="0.3">
      <c r="A20" s="16" t="s">
        <v>38</v>
      </c>
      <c r="B20" s="4" t="s">
        <v>40</v>
      </c>
      <c r="C20" s="5">
        <f>SUMIFS(Raw_Data!$G:$G,Raw_Data!$AG:$AG,"SOFT-WORLD",Raw_Data!$AH:$AH,"4월",Raw_Data!$AE:$AE,"게임매출",Raw_Data!$AF:$AF,"온라인")</f>
        <v>592031049</v>
      </c>
      <c r="D20" s="4" t="s">
        <v>41</v>
      </c>
    </row>
    <row r="21" spans="1:4" x14ac:dyDescent="0.3">
      <c r="A21" s="15" t="s">
        <v>38</v>
      </c>
      <c r="B21" s="6" t="s">
        <v>42</v>
      </c>
      <c r="C21" s="7">
        <f>SUMIFS(Raw_Data!$G:$G,Raw_Data!$AG:$AG,"Terminal3",Raw_Data!$AH:$AH,"4월",Raw_Data!$AE:$AE,"게임매출",Raw_Data!$AF:$AF,"온라인")</f>
        <v>77328946</v>
      </c>
      <c r="D21" s="6"/>
    </row>
    <row r="22" spans="1:4" x14ac:dyDescent="0.3">
      <c r="A22" s="16" t="s">
        <v>38</v>
      </c>
      <c r="B22" s="4" t="s">
        <v>12</v>
      </c>
      <c r="C22" s="5">
        <f>SUMIFS(Raw_Data!$G:$G,Raw_Data!$AG:$AG,"Valve",Raw_Data!$AH:$AH,"4월",Raw_Data!$AE:$AE,"게임매출",Raw_Data!$AF:$AF,"온라인")</f>
        <v>1826602402</v>
      </c>
      <c r="D22" s="4"/>
    </row>
    <row r="23" spans="1:4" x14ac:dyDescent="0.3">
      <c r="A23" s="15" t="s">
        <v>38</v>
      </c>
      <c r="B23" s="6" t="s">
        <v>43</v>
      </c>
      <c r="C23" s="7">
        <f>SUMIFS(Raw_Data!$G:$G,Raw_Data!$AG:$AG,"네이버파이낸셜",Raw_Data!$AH:$AH,"4월",Raw_Data!$AE:$AE,"게임매출",Raw_Data!$AF:$AF,"온라인")</f>
        <v>845488184</v>
      </c>
      <c r="D23" s="6"/>
    </row>
    <row r="24" spans="1:4" x14ac:dyDescent="0.3">
      <c r="A24" s="16" t="s">
        <v>38</v>
      </c>
      <c r="B24" s="4" t="s">
        <v>44</v>
      </c>
      <c r="C24" s="5">
        <f>SUMIFS(Raw_Data!$G:$G,Raw_Data!$AG:$AG,"토스페이먼츠",Raw_Data!$AH:$AH,"4월",Raw_Data!$AE:$AE,"게임매출",Raw_Data!$AF:$AF,"온라인")</f>
        <v>113787364</v>
      </c>
      <c r="D24" s="4"/>
    </row>
    <row r="25" spans="1:4" x14ac:dyDescent="0.3">
      <c r="A25" s="15" t="s">
        <v>45</v>
      </c>
      <c r="B25" s="6" t="s">
        <v>46</v>
      </c>
      <c r="C25" s="7">
        <f>SUMIFS(Raw_Data!$G:$G,Raw_Data!$AG:$AG,"Admob",Raw_Data!$AH:$AH,"4월",Raw_Data!$AE:$AE,"게임매출",Raw_Data!$AF:$AF,"광고")</f>
        <v>0</v>
      </c>
      <c r="D25" s="6"/>
    </row>
    <row r="26" spans="1:4" x14ac:dyDescent="0.3">
      <c r="A26" s="16" t="s">
        <v>45</v>
      </c>
      <c r="B26" s="4" t="s">
        <v>47</v>
      </c>
      <c r="C26" s="5">
        <f>SUMIFS(Raw_Data!$G:$G,Raw_Data!$AG:$AG,"Facebook",Raw_Data!$AH:$AH,"4월",Raw_Data!$AE:$AE,"게임매출",Raw_Data!$AF:$AF,"광고")</f>
        <v>18579569</v>
      </c>
      <c r="D26" s="4"/>
    </row>
    <row r="27" spans="1:4" x14ac:dyDescent="0.3">
      <c r="A27" s="15" t="s">
        <v>45</v>
      </c>
      <c r="B27" s="6" t="s">
        <v>48</v>
      </c>
      <c r="C27" s="7">
        <f>SUMIFS(Raw_Data!$G:$G,Raw_Data!$AG:$AG,"Line",Raw_Data!$AH:$AH,"4월",Raw_Data!$AE:$AE,"게임매출",Raw_Data!$AF:$AF,"광고")</f>
        <v>6285</v>
      </c>
      <c r="D27" s="6"/>
    </row>
    <row r="28" spans="1:4" x14ac:dyDescent="0.3">
      <c r="A28" s="16" t="s">
        <v>45</v>
      </c>
      <c r="B28" s="4" t="s">
        <v>49</v>
      </c>
      <c r="C28" s="5">
        <f>SUMIFS(Raw_Data!$G:$G,Raw_Data!$AG:$AG,"넵튠",Raw_Data!$AH:$AH,"4월",Raw_Data!$AE:$AE,"게임매출",Raw_Data!$AF:$AF,"광고")</f>
        <v>85241491</v>
      </c>
      <c r="D28" s="4" t="s">
        <v>50</v>
      </c>
    </row>
    <row r="29" spans="1:4" x14ac:dyDescent="0.3">
      <c r="A29" s="15" t="s">
        <v>45</v>
      </c>
      <c r="B29" s="6" t="s">
        <v>51</v>
      </c>
      <c r="C29" s="7">
        <f>SUMIFS(Raw_Data!$G:$G,Raw_Data!$AG:$AG,"원스토어(광고)",Raw_Data!$AH:$AH,"4월",Raw_Data!$AE:$AE,"게임매출",Raw_Data!$AF:$AF,"광고")</f>
        <v>146940773</v>
      </c>
      <c r="D29" s="6" t="s">
        <v>52</v>
      </c>
    </row>
    <row r="30" spans="1:4" x14ac:dyDescent="0.3">
      <c r="A30" s="16" t="s">
        <v>53</v>
      </c>
      <c r="B30" s="4" t="s">
        <v>53</v>
      </c>
      <c r="C30" s="5">
        <f>SUMIFS(Raw_Data!$G:$G,Raw_Data!$AG:$AG,"OOTP",Raw_Data!$AH:$AH,"4월",Raw_Data!$AE:$AE,"게임매출",Raw_Data!$AF:$AF,"OOTP")</f>
        <v>3278000</v>
      </c>
      <c r="D30" s="4" t="s">
        <v>54</v>
      </c>
    </row>
    <row r="31" spans="1:4" x14ac:dyDescent="0.3">
      <c r="A31" s="8" t="s">
        <v>55</v>
      </c>
      <c r="B31" s="17"/>
      <c r="C31" s="9">
        <f>SUM(C5:C17)</f>
        <v>42029678746</v>
      </c>
      <c r="D31" s="17"/>
    </row>
    <row r="32" spans="1:4" x14ac:dyDescent="0.3">
      <c r="A32" s="8" t="s">
        <v>56</v>
      </c>
      <c r="B32" s="17"/>
      <c r="C32" s="9">
        <f>SUM(C18:C24)</f>
        <v>4681382389</v>
      </c>
      <c r="D32" s="17"/>
    </row>
    <row r="33" spans="1:4" x14ac:dyDescent="0.3">
      <c r="A33" s="8" t="s">
        <v>57</v>
      </c>
      <c r="B33" s="17"/>
      <c r="C33" s="9">
        <f>SUM(C25:C29)</f>
        <v>250768118</v>
      </c>
      <c r="D33" s="17"/>
    </row>
    <row r="34" spans="1:4" x14ac:dyDescent="0.3">
      <c r="A34" s="8" t="s">
        <v>58</v>
      </c>
      <c r="B34" s="17"/>
      <c r="C34" s="9">
        <f>SUM(C30:C30)</f>
        <v>3278000</v>
      </c>
      <c r="D34" s="17"/>
    </row>
    <row r="35" spans="1:4" x14ac:dyDescent="0.3">
      <c r="A35" s="8" t="s">
        <v>59</v>
      </c>
      <c r="B35" s="17"/>
      <c r="C35" s="9">
        <f>C31+C32+C33+C34</f>
        <v>46965107253</v>
      </c>
      <c r="D35" s="18"/>
    </row>
    <row r="37" spans="1:4" x14ac:dyDescent="0.3">
      <c r="A37" s="35" t="s">
        <v>60</v>
      </c>
      <c r="B37" s="36"/>
      <c r="C37" s="36"/>
      <c r="D37" s="36"/>
    </row>
    <row r="38" spans="1:4" x14ac:dyDescent="0.3">
      <c r="A38" s="14" t="s">
        <v>24</v>
      </c>
      <c r="B38" s="14" t="s">
        <v>25</v>
      </c>
      <c r="C38" s="14" t="s">
        <v>26</v>
      </c>
      <c r="D38" s="14" t="s">
        <v>27</v>
      </c>
    </row>
    <row r="39" spans="1:4" x14ac:dyDescent="0.3">
      <c r="A39" s="15" t="s">
        <v>61</v>
      </c>
      <c r="B39" s="6" t="s">
        <v>62</v>
      </c>
      <c r="C39" s="7">
        <f>SUMIFS(Raw_Data!$G:$G,Raw_Data!$AG:$AG,"Moye Technology",Raw_Data!$AH:$AH,"4월",Raw_Data!$AE:$AE,"기타수익",Raw_Data!$AF:$AF,"로열티수익")</f>
        <v>0</v>
      </c>
      <c r="D39" s="6"/>
    </row>
    <row r="40" spans="1:4" x14ac:dyDescent="0.3">
      <c r="A40" s="16" t="s">
        <v>61</v>
      </c>
      <c r="B40" s="4" t="s">
        <v>63</v>
      </c>
      <c r="C40" s="5">
        <f>SUMIFS(Raw_Data!$G:$G,Raw_Data!$AG:$AG,"OOTP(로열티)",Raw_Data!$AH:$AH,"4월",Raw_Data!$AE:$AE,"기타수익",Raw_Data!$AF:$AF,"로열티수익")</f>
        <v>447693</v>
      </c>
      <c r="D40" s="4" t="s">
        <v>125</v>
      </c>
    </row>
    <row r="41" spans="1:4" x14ac:dyDescent="0.3">
      <c r="A41" s="15" t="s">
        <v>61</v>
      </c>
      <c r="B41" s="6" t="s">
        <v>64</v>
      </c>
      <c r="C41" s="7">
        <f>SUMIFS(Raw_Data!$G:$G,Raw_Data!$AG:$AG,"Skybound",Raw_Data!$AH:$AH,"4월",Raw_Data!$AE:$AE,"기타수익",Raw_Data!$AF:$AF,"로열티수익")</f>
        <v>0</v>
      </c>
      <c r="D41" s="6"/>
    </row>
    <row r="42" spans="1:4" x14ac:dyDescent="0.3">
      <c r="A42" s="16" t="s">
        <v>61</v>
      </c>
      <c r="B42" s="4" t="s">
        <v>65</v>
      </c>
      <c r="C42" s="5">
        <f>SUMIFS(Raw_Data!$G:$G,Raw_Data!$AG:$AG,"공게임즈",Raw_Data!$AH:$AH,"4월",Raw_Data!$AE:$AE,"기타수익",Raw_Data!$AF:$AF,"로열티수익")</f>
        <v>22132224</v>
      </c>
      <c r="D42" s="4"/>
    </row>
    <row r="43" spans="1:4" x14ac:dyDescent="0.3">
      <c r="A43" s="15" t="s">
        <v>61</v>
      </c>
      <c r="B43" s="6" t="s">
        <v>66</v>
      </c>
      <c r="C43" s="7">
        <f>SUMIFS(Raw_Data!$G:$G,Raw_Data!$AG:$AG,"네오위즈스포츠",Raw_Data!$AH:$AH,"4월",Raw_Data!$AE:$AE,"기타수익",Raw_Data!$AF:$AF,"로열티수익")</f>
        <v>17450350</v>
      </c>
      <c r="D43" s="6"/>
    </row>
    <row r="44" spans="1:4" x14ac:dyDescent="0.3">
      <c r="A44" s="16" t="s">
        <v>61</v>
      </c>
      <c r="B44" s="4" t="s">
        <v>67</v>
      </c>
      <c r="C44" s="5">
        <f>SUMIFS(Raw_Data!$G:$G,Raw_Data!$AG:$AG,"밸로프(로열티)",Raw_Data!$AH:$AH,"4월",Raw_Data!$AE:$AE,"기타수익",Raw_Data!$AF:$AF,"로열티수익")</f>
        <v>19694906</v>
      </c>
      <c r="D44" s="4" t="s">
        <v>120</v>
      </c>
    </row>
    <row r="45" spans="1:4" x14ac:dyDescent="0.3">
      <c r="A45" s="15" t="s">
        <v>61</v>
      </c>
      <c r="B45" s="6" t="s">
        <v>68</v>
      </c>
      <c r="C45" s="7">
        <f>SUMIFS(Raw_Data!$G:$G,Raw_Data!$AG:$AG,"에이스프로젝트",Raw_Data!$AH:$AH,"4월",Raw_Data!$AE:$AE,"기타수익",Raw_Data!$AF:$AF,"로열티수익")</f>
        <v>5803546</v>
      </c>
      <c r="D45" s="6"/>
    </row>
    <row r="46" spans="1:4" x14ac:dyDescent="0.3">
      <c r="A46" s="16" t="s">
        <v>61</v>
      </c>
      <c r="B46" s="4" t="s">
        <v>69</v>
      </c>
      <c r="C46" s="5">
        <f>SUMIFS(Raw_Data!$G:$G,Raw_Data!$AG:$AG,"위메이드",Raw_Data!$AH:$AH,"4월",Raw_Data!$AE:$AE,"기타수익",Raw_Data!$AF:$AF,"로열티수익")</f>
        <v>635256</v>
      </c>
      <c r="D46" s="4" t="s">
        <v>121</v>
      </c>
    </row>
    <row r="47" spans="1:4" x14ac:dyDescent="0.3">
      <c r="A47" s="15" t="s">
        <v>61</v>
      </c>
      <c r="B47" s="6" t="s">
        <v>70</v>
      </c>
      <c r="C47" s="7">
        <f>SUMIFS(Raw_Data!$G:$G,Raw_Data!$AG:$AG,"케나즈",Raw_Data!$AH:$AH,"4월",Raw_Data!$AE:$AE,"기타수익",Raw_Data!$AF:$AF,"로열티수익")</f>
        <v>23759</v>
      </c>
      <c r="D47" s="6" t="s">
        <v>116</v>
      </c>
    </row>
    <row r="48" spans="1:4" x14ac:dyDescent="0.3">
      <c r="A48" s="16" t="s">
        <v>61</v>
      </c>
      <c r="B48" s="4" t="s">
        <v>71</v>
      </c>
      <c r="C48" s="5">
        <f>SUMIFS(Raw_Data!$G:$G,Raw_Data!$AG:$AG,"해긴",Raw_Data!$AH:$AH,"4월",Raw_Data!$AE:$AE,"기타수익",Raw_Data!$AF:$AF,"로열티수익")</f>
        <v>25393862</v>
      </c>
      <c r="D48" s="4" t="s">
        <v>126</v>
      </c>
    </row>
    <row r="49" spans="1:4" x14ac:dyDescent="0.3">
      <c r="A49" s="15" t="s">
        <v>16</v>
      </c>
      <c r="B49" s="6" t="s">
        <v>72</v>
      </c>
      <c r="C49" s="7">
        <f>SUMIFS(Raw_Data!$G:$G,Raw_Data!$AG:$AG,"CJ올리브영",Raw_Data!$AH:$AH,"4월",Raw_Data!$AE:$AE,"기타수익",Raw_Data!$AF:$AF,"기타")</f>
        <v>0</v>
      </c>
      <c r="D49" s="6"/>
    </row>
    <row r="50" spans="1:4" x14ac:dyDescent="0.3">
      <c r="A50" s="16" t="s">
        <v>16</v>
      </c>
      <c r="B50" s="4" t="s">
        <v>73</v>
      </c>
      <c r="C50" s="5">
        <f>SUMIFS(Raw_Data!$G:$G,Raw_Data!$AG:$AG,"MetaMagnet",Raw_Data!$AH:$AH,"4월",Raw_Data!$AE:$AE,"기타수익",Raw_Data!$AF:$AF,"기타")</f>
        <v>0</v>
      </c>
      <c r="D50" s="4"/>
    </row>
    <row r="51" spans="1:4" x14ac:dyDescent="0.3">
      <c r="A51" s="15" t="s">
        <v>16</v>
      </c>
      <c r="B51" s="6" t="s">
        <v>74</v>
      </c>
      <c r="C51" s="7">
        <f>SUMIFS(Raw_Data!$G:$G,Raw_Data!$AG:$AG,"OASYS",Raw_Data!$AH:$AH,"4월",Raw_Data!$AE:$AE,"기타수익",Raw_Data!$AF:$AF,"기타")</f>
        <v>0</v>
      </c>
      <c r="D51" s="6"/>
    </row>
    <row r="52" spans="1:4" x14ac:dyDescent="0.3">
      <c r="A52" s="16" t="s">
        <v>16</v>
      </c>
      <c r="B52" s="4" t="s">
        <v>75</v>
      </c>
      <c r="C52" s="5">
        <f>SUMIFS(Raw_Data!$G:$G,Raw_Data!$AG:$AG,"SBTM",Raw_Data!$AH:$AH,"4월",Raw_Data!$AE:$AE,"기타수익",Raw_Data!$AF:$AF,"기타")</f>
        <v>0</v>
      </c>
      <c r="D52" s="4"/>
    </row>
    <row r="53" spans="1:4" x14ac:dyDescent="0.3">
      <c r="A53" s="15" t="s">
        <v>16</v>
      </c>
      <c r="B53" s="6" t="s">
        <v>76</v>
      </c>
      <c r="C53" s="7">
        <f>SUMIFS(Raw_Data!$G:$G,Raw_Data!$AG:$AG,"게임테일즈",Raw_Data!$AH:$AH,"4월",Raw_Data!$AE:$AE,"기타수익",Raw_Data!$AF:$AF,"기타")</f>
        <v>86246072</v>
      </c>
      <c r="D53" s="6" t="s">
        <v>117</v>
      </c>
    </row>
    <row r="54" spans="1:4" x14ac:dyDescent="0.3">
      <c r="A54" s="16" t="s">
        <v>16</v>
      </c>
      <c r="B54" s="4" t="s">
        <v>77</v>
      </c>
      <c r="C54" s="5">
        <f>SUMIFS(Raw_Data!$G:$G,Raw_Data!$AG:$AG,"넷마블(기타)",Raw_Data!$AH:$AH,"4월",Raw_Data!$AE:$AE,"기타수익",Raw_Data!$AF:$AF,"기타")</f>
        <v>32202273</v>
      </c>
      <c r="D54" s="4"/>
    </row>
    <row r="55" spans="1:4" x14ac:dyDescent="0.3">
      <c r="A55" s="15" t="s">
        <v>16</v>
      </c>
      <c r="B55" s="6" t="s">
        <v>78</v>
      </c>
      <c r="C55" s="7">
        <f>SUMIFS(Raw_Data!$G:$G,Raw_Data!$AG:$AG,"데이세븐(기타)",Raw_Data!$AH:$AH,"4월",Raw_Data!$AE:$AE,"기타수익",Raw_Data!$AF:$AF,"기타")</f>
        <v>175000</v>
      </c>
      <c r="D55" s="6" t="s">
        <v>79</v>
      </c>
    </row>
    <row r="56" spans="1:4" x14ac:dyDescent="0.3">
      <c r="A56" s="16" t="s">
        <v>16</v>
      </c>
      <c r="B56" s="4" t="s">
        <v>80</v>
      </c>
      <c r="C56" s="5">
        <f>SUMIFS(Raw_Data!$G:$G,Raw_Data!$AG:$AG,"링티",Raw_Data!$AH:$AH,"4월",Raw_Data!$AE:$AE,"기타수익",Raw_Data!$AF:$AF,"기타")</f>
        <v>0</v>
      </c>
      <c r="D56" s="4"/>
    </row>
    <row r="57" spans="1:4" x14ac:dyDescent="0.3">
      <c r="A57" s="15" t="s">
        <v>16</v>
      </c>
      <c r="B57" s="6" t="s">
        <v>81</v>
      </c>
      <c r="C57" s="7">
        <f>SUMIFS(Raw_Data!$G:$G,Raw_Data!$AG:$AG,"비즈마켓",Raw_Data!$AH:$AH,"4월",Raw_Data!$AE:$AE,"기타수익",Raw_Data!$AF:$AF,"기타")</f>
        <v>0</v>
      </c>
      <c r="D57" s="6"/>
    </row>
    <row r="58" spans="1:4" x14ac:dyDescent="0.3">
      <c r="A58" s="16" t="s">
        <v>16</v>
      </c>
      <c r="B58" s="4" t="s">
        <v>82</v>
      </c>
      <c r="C58" s="5">
        <f>SUMIFS(Raw_Data!$G:$G,Raw_Data!$AG:$AG,"삼성화재",Raw_Data!$AH:$AH,"4월",Raw_Data!$AE:$AE,"기타수익",Raw_Data!$AF:$AF,"기타")</f>
        <v>0</v>
      </c>
      <c r="D58" s="4"/>
    </row>
    <row r="59" spans="1:4" x14ac:dyDescent="0.3">
      <c r="A59" s="15" t="s">
        <v>16</v>
      </c>
      <c r="B59" s="6" t="s">
        <v>83</v>
      </c>
      <c r="C59" s="7">
        <f>SUMIFS(Raw_Data!$G:$G,Raw_Data!$AG:$AG,"에스비에스콘텐츠허브",Raw_Data!$AH:$AH,"4월",Raw_Data!$AE:$AE,"기타수익",Raw_Data!$AF:$AF,"기타")</f>
        <v>140822</v>
      </c>
      <c r="D59" s="6" t="s">
        <v>84</v>
      </c>
    </row>
    <row r="60" spans="1:4" x14ac:dyDescent="0.3">
      <c r="A60" s="16" t="s">
        <v>16</v>
      </c>
      <c r="B60" s="4" t="s">
        <v>85</v>
      </c>
      <c r="C60" s="5">
        <f>SUMIFS(Raw_Data!$G:$G,Raw_Data!$AG:$AG,"오내피플",Raw_Data!$AH:$AH,"4월",Raw_Data!$AE:$AE,"기타수익",Raw_Data!$AF:$AF,"기타")</f>
        <v>0</v>
      </c>
      <c r="D60" s="4"/>
    </row>
    <row r="61" spans="1:4" x14ac:dyDescent="0.3">
      <c r="A61" s="15" t="s">
        <v>16</v>
      </c>
      <c r="B61" s="6" t="s">
        <v>86</v>
      </c>
      <c r="C61" s="7">
        <f>SUMIFS(Raw_Data!$G:$G,Raw_Data!$AG:$AG,"인케이코리아",Raw_Data!$AH:$AH,"4월",Raw_Data!$AE:$AE,"기타수익",Raw_Data!$AF:$AF,"기타")</f>
        <v>0</v>
      </c>
      <c r="D61" s="6"/>
    </row>
    <row r="62" spans="1:4" x14ac:dyDescent="0.3">
      <c r="A62" s="16" t="s">
        <v>16</v>
      </c>
      <c r="B62" s="4" t="s">
        <v>87</v>
      </c>
      <c r="C62" s="5">
        <f>SUMIFS(Raw_Data!$G:$G,Raw_Data!$AG:$AG,"카탈리스터(기타)",Raw_Data!$AH:$AH,"4월",Raw_Data!$AE:$AE,"기타수익",Raw_Data!$AF:$AF,"기타")</f>
        <v>937103</v>
      </c>
      <c r="D62" s="4" t="s">
        <v>88</v>
      </c>
    </row>
    <row r="63" spans="1:4" x14ac:dyDescent="0.3">
      <c r="A63" s="15" t="s">
        <v>16</v>
      </c>
      <c r="B63" s="6" t="s">
        <v>89</v>
      </c>
      <c r="C63" s="7">
        <f>SUMIFS(Raw_Data!$G:$G,Raw_Data!$AG:$AG,"컴투스로카(기타)",Raw_Data!$AH:$AH,"4월",Raw_Data!$AE:$AE,"기타수익",Raw_Data!$AF:$AF,"기타")</f>
        <v>0</v>
      </c>
      <c r="D63" s="6"/>
    </row>
    <row r="64" spans="1:4" x14ac:dyDescent="0.3">
      <c r="A64" s="16" t="s">
        <v>16</v>
      </c>
      <c r="B64" s="4" t="s">
        <v>90</v>
      </c>
      <c r="C64" s="5">
        <f>SUMIFS(Raw_Data!$G:$G,Raw_Data!$AG:$AG,"컴투스플랫폼(기타)",Raw_Data!$AH:$AH,"4월",Raw_Data!$AE:$AE,"기타수익",Raw_Data!$AF:$AF,"기타")</f>
        <v>51247628</v>
      </c>
      <c r="D64" s="4" t="s">
        <v>91</v>
      </c>
    </row>
    <row r="65" spans="1:4" x14ac:dyDescent="0.3">
      <c r="A65" s="15" t="s">
        <v>16</v>
      </c>
      <c r="B65" s="6" t="s">
        <v>92</v>
      </c>
      <c r="C65" s="7">
        <f>SUMIFS(Raw_Data!$G:$G,Raw_Data!$AG:$AG,"컴투스홀딩스(기타)",Raw_Data!$AH:$AH,"4월",Raw_Data!$AE:$AE,"기타수익",Raw_Data!$AF:$AF,"기타")</f>
        <v>23678617</v>
      </c>
      <c r="D65" s="6" t="s">
        <v>93</v>
      </c>
    </row>
    <row r="66" spans="1:4" x14ac:dyDescent="0.3">
      <c r="A66" s="16" t="s">
        <v>16</v>
      </c>
      <c r="B66" s="4" t="s">
        <v>94</v>
      </c>
      <c r="C66" s="5">
        <f>SUMIFS(Raw_Data!$G:$G,Raw_Data!$AG:$AG,"하이브로",Raw_Data!$AH:$AH,"4월",Raw_Data!$AE:$AE,"기타수익",Raw_Data!$AF:$AF,"기타")</f>
        <v>20880396</v>
      </c>
      <c r="D66" s="4" t="s">
        <v>95</v>
      </c>
    </row>
    <row r="67" spans="1:4" x14ac:dyDescent="0.3">
      <c r="A67" s="15" t="s">
        <v>16</v>
      </c>
      <c r="B67" s="6" t="s">
        <v>96</v>
      </c>
      <c r="C67" s="7">
        <f>SUMIFS(Raw_Data!$G:$G,Raw_Data!$AG:$AG,"한국문화진흥",Raw_Data!$AH:$AH,"4월",Raw_Data!$AE:$AE,"기타수익",Raw_Data!$AF:$AF,"기타")</f>
        <v>0</v>
      </c>
      <c r="D67" s="6"/>
    </row>
    <row r="68" spans="1:4" x14ac:dyDescent="0.3">
      <c r="A68" s="19" t="s">
        <v>97</v>
      </c>
      <c r="B68" s="20"/>
      <c r="C68" s="21">
        <f>SUM(C39:C48,C49:C67)</f>
        <v>307089507</v>
      </c>
      <c r="D68" s="22"/>
    </row>
    <row r="70" spans="1:4" x14ac:dyDescent="0.3">
      <c r="A70" s="37" t="s">
        <v>98</v>
      </c>
      <c r="B70" s="38"/>
      <c r="C70" s="38"/>
      <c r="D70" s="38"/>
    </row>
    <row r="71" spans="1:4" x14ac:dyDescent="0.3">
      <c r="A71" s="14" t="s">
        <v>24</v>
      </c>
      <c r="B71" s="14" t="s">
        <v>25</v>
      </c>
      <c r="C71" s="14" t="s">
        <v>26</v>
      </c>
      <c r="D71" s="14" t="s">
        <v>27</v>
      </c>
    </row>
    <row r="72" spans="1:4" x14ac:dyDescent="0.3">
      <c r="A72" s="16" t="s">
        <v>99</v>
      </c>
      <c r="B72" s="4" t="s">
        <v>100</v>
      </c>
      <c r="C72" s="5">
        <f>SUMIFS(Raw_Data!$G:$G,Raw_Data!$AG:$AG,"Com2uS Europe",Raw_Data!$AH:$AH,"4월",Raw_Data!$AE:$AE,"용역수익")</f>
        <v>0</v>
      </c>
      <c r="D72" s="4"/>
    </row>
    <row r="73" spans="1:4" x14ac:dyDescent="0.3">
      <c r="A73" s="15" t="s">
        <v>99</v>
      </c>
      <c r="B73" s="6" t="s">
        <v>101</v>
      </c>
      <c r="C73" s="7">
        <f>SUMIFS(Raw_Data!$G:$G,Raw_Data!$AG:$AG,"Com2uS Japan",Raw_Data!$AH:$AH,"4월",Raw_Data!$AE:$AE,"용역수익")</f>
        <v>0</v>
      </c>
      <c r="D73" s="6"/>
    </row>
    <row r="74" spans="1:4" x14ac:dyDescent="0.3">
      <c r="A74" s="16" t="s">
        <v>99</v>
      </c>
      <c r="B74" s="4" t="s">
        <v>102</v>
      </c>
      <c r="C74" s="5">
        <f>SUMIFS(Raw_Data!$G:$G,Raw_Data!$AG:$AG,"Com2uS Taiwan",Raw_Data!$AH:$AH,"4월",Raw_Data!$AE:$AE,"용역수익")</f>
        <v>0</v>
      </c>
      <c r="D74" s="4"/>
    </row>
    <row r="75" spans="1:4" x14ac:dyDescent="0.3">
      <c r="A75" s="15" t="s">
        <v>99</v>
      </c>
      <c r="B75" s="6" t="s">
        <v>103</v>
      </c>
      <c r="C75" s="7">
        <f>SUMIFS(Raw_Data!$G:$G,Raw_Data!$AG:$AG,"Com2uS USA",Raw_Data!$AH:$AH,"4월",Raw_Data!$AE:$AE,"용역수익")</f>
        <v>51301797</v>
      </c>
      <c r="D75" s="6"/>
    </row>
    <row r="76" spans="1:4" x14ac:dyDescent="0.3">
      <c r="A76" s="16" t="s">
        <v>99</v>
      </c>
      <c r="B76" s="4" t="s">
        <v>73</v>
      </c>
      <c r="C76" s="5">
        <f>SUMIFS(Raw_Data!$G:$G,Raw_Data!$AG:$AG,"MetaMagnet",Raw_Data!$AH:$AH,"4월",Raw_Data!$AE:$AE,"용역수익")</f>
        <v>45577407</v>
      </c>
      <c r="D76" s="4" t="s">
        <v>104</v>
      </c>
    </row>
    <row r="77" spans="1:4" x14ac:dyDescent="0.3">
      <c r="A77" s="15" t="s">
        <v>99</v>
      </c>
      <c r="B77" s="6" t="s">
        <v>74</v>
      </c>
      <c r="C77" s="7">
        <f>SUMIFS(Raw_Data!$G:$G,Raw_Data!$AG:$AG,"OASYS",Raw_Data!$AH:$AH,"4월",Raw_Data!$AE:$AE,"용역수익")</f>
        <v>49579662</v>
      </c>
      <c r="D77" s="6" t="s">
        <v>104</v>
      </c>
    </row>
    <row r="78" spans="1:4" x14ac:dyDescent="0.3">
      <c r="A78" s="16" t="s">
        <v>99</v>
      </c>
      <c r="B78" s="4" t="s">
        <v>105</v>
      </c>
      <c r="C78" s="5">
        <f>SUMIFS(Raw_Data!$G:$G,Raw_Data!$AG:$AG,"OOTP(용역)",Raw_Data!$AH:$AH,"4월",Raw_Data!$AE:$AE,"용역수익")</f>
        <v>-636506</v>
      </c>
      <c r="D78" s="4" t="s">
        <v>106</v>
      </c>
    </row>
    <row r="79" spans="1:4" x14ac:dyDescent="0.3">
      <c r="A79" s="15" t="s">
        <v>99</v>
      </c>
      <c r="B79" s="6" t="s">
        <v>107</v>
      </c>
      <c r="C79" s="7">
        <f>SUMIFS(Raw_Data!$G:$G,Raw_Data!$AG:$AG,"데이세븐",Raw_Data!$AH:$AH,"4월",Raw_Data!$AE:$AE,"용역수익")</f>
        <v>500000</v>
      </c>
      <c r="D79" s="6" t="s">
        <v>108</v>
      </c>
    </row>
    <row r="80" spans="1:4" x14ac:dyDescent="0.3">
      <c r="A80" s="16" t="s">
        <v>99</v>
      </c>
      <c r="B80" s="4" t="s">
        <v>109</v>
      </c>
      <c r="C80" s="5">
        <f>SUMIFS(Raw_Data!$G:$G,Raw_Data!$AG:$AG,"카탈리스터",Raw_Data!$AH:$AH,"4월",Raw_Data!$AE:$AE,"용역수익")</f>
        <v>40543</v>
      </c>
      <c r="D80" s="4"/>
    </row>
    <row r="81" spans="1:4" x14ac:dyDescent="0.3">
      <c r="A81" s="15" t="s">
        <v>99</v>
      </c>
      <c r="B81" s="6" t="s">
        <v>110</v>
      </c>
      <c r="C81" s="7">
        <f>SUMIFS(Raw_Data!$G:$G,Raw_Data!$AG:$AG,"컴투스로카",Raw_Data!$AH:$AH,"4월",Raw_Data!$AE:$AE,"용역수익")</f>
        <v>500000</v>
      </c>
      <c r="D81" s="6"/>
    </row>
    <row r="82" spans="1:4" x14ac:dyDescent="0.3">
      <c r="A82" s="16" t="s">
        <v>99</v>
      </c>
      <c r="B82" s="4" t="s">
        <v>36</v>
      </c>
      <c r="C82" s="5">
        <f>SUMIFS(Raw_Data!$G:$G,Raw_Data!$AG:$AG,"컴투스플랫폼",Raw_Data!$AH:$AH,"4월",Raw_Data!$AE:$AE,"용역수익")</f>
        <v>16555660</v>
      </c>
      <c r="D82" s="4"/>
    </row>
    <row r="83" spans="1:4" x14ac:dyDescent="0.3">
      <c r="A83" s="15" t="s">
        <v>99</v>
      </c>
      <c r="B83" s="6" t="s">
        <v>37</v>
      </c>
      <c r="C83" s="7">
        <f>SUMIFS(Raw_Data!$G:$G,Raw_Data!$AG:$AG,"컴투스홀딩스",Raw_Data!$AH:$AH,"4월",Raw_Data!$AE:$AE,"용역수익")</f>
        <v>207255739</v>
      </c>
      <c r="D83" s="6" t="s">
        <v>111</v>
      </c>
    </row>
    <row r="84" spans="1:4" x14ac:dyDescent="0.3">
      <c r="A84" s="16" t="s">
        <v>99</v>
      </c>
      <c r="B84" s="4" t="s">
        <v>112</v>
      </c>
      <c r="C84" s="5">
        <f>SUMIFS(Raw_Data!$G:$G,Raw_Data!$AG:$AG,"티키타카스튜디오",Raw_Data!$AH:$AH,"4월",Raw_Data!$AE:$AE,"용역수익")</f>
        <v>0</v>
      </c>
      <c r="D84" s="4"/>
    </row>
    <row r="85" spans="1:4" x14ac:dyDescent="0.3">
      <c r="A85" s="23" t="s">
        <v>113</v>
      </c>
      <c r="B85" s="24"/>
      <c r="C85" s="25">
        <f>SUM(C72:C84)</f>
        <v>370674302</v>
      </c>
      <c r="D85" s="26"/>
    </row>
    <row r="87" spans="1:4" x14ac:dyDescent="0.3">
      <c r="A87" s="27" t="s">
        <v>114</v>
      </c>
      <c r="B87" s="28"/>
      <c r="C87" s="12">
        <f>C35+C68+C85</f>
        <v>47642871062</v>
      </c>
      <c r="D87" s="29"/>
    </row>
  </sheetData>
  <mergeCells count="4">
    <mergeCell ref="A1:C1"/>
    <mergeCell ref="A37:D37"/>
    <mergeCell ref="A70:D70"/>
    <mergeCell ref="A3:D3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49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6" customWidth="1"/>
    <col min="4" max="4" width="14" customWidth="1"/>
    <col min="9" max="9" width="40" customWidth="1"/>
    <col min="11" max="11" width="36" customWidth="1"/>
    <col min="31" max="35" width="18" customWidth="1"/>
  </cols>
  <sheetData>
    <row r="1" spans="1:35" x14ac:dyDescent="0.3">
      <c r="A1" s="14" t="s">
        <v>127</v>
      </c>
      <c r="B1" s="14" t="s">
        <v>128</v>
      </c>
      <c r="C1" s="14" t="s">
        <v>129</v>
      </c>
      <c r="D1" s="14" t="s">
        <v>130</v>
      </c>
      <c r="E1" s="14" t="s">
        <v>131</v>
      </c>
      <c r="F1" s="14" t="s">
        <v>132</v>
      </c>
      <c r="G1" s="14" t="s">
        <v>133</v>
      </c>
      <c r="H1" s="14" t="s">
        <v>134</v>
      </c>
      <c r="I1" s="14" t="s">
        <v>135</v>
      </c>
      <c r="J1" s="14" t="s">
        <v>136</v>
      </c>
      <c r="K1" s="14" t="s">
        <v>3</v>
      </c>
      <c r="L1" s="14" t="s">
        <v>137</v>
      </c>
      <c r="M1" s="14" t="s">
        <v>138</v>
      </c>
      <c r="N1" s="14" t="s">
        <v>139</v>
      </c>
      <c r="O1" s="14" t="s">
        <v>140</v>
      </c>
      <c r="P1" s="14" t="s">
        <v>141</v>
      </c>
      <c r="Q1" s="14" t="s">
        <v>142</v>
      </c>
      <c r="R1" s="14" t="s">
        <v>143</v>
      </c>
      <c r="S1" s="14" t="s">
        <v>144</v>
      </c>
      <c r="T1" s="14" t="s">
        <v>145</v>
      </c>
      <c r="U1" s="14" t="s">
        <v>146</v>
      </c>
      <c r="V1" s="14" t="s">
        <v>147</v>
      </c>
      <c r="W1" s="14" t="s">
        <v>148</v>
      </c>
      <c r="X1" s="14" t="s">
        <v>149</v>
      </c>
      <c r="Y1" s="14" t="s">
        <v>150</v>
      </c>
      <c r="Z1" s="14" t="s">
        <v>151</v>
      </c>
      <c r="AA1" s="14" t="s">
        <v>152</v>
      </c>
      <c r="AB1" s="14" t="s">
        <v>153</v>
      </c>
      <c r="AC1" s="14" t="s">
        <v>154</v>
      </c>
      <c r="AD1" s="14" t="s">
        <v>155</v>
      </c>
      <c r="AE1" s="3" t="s">
        <v>156</v>
      </c>
      <c r="AF1" s="3" t="s">
        <v>157</v>
      </c>
      <c r="AG1" s="3" t="s">
        <v>158</v>
      </c>
      <c r="AH1" s="3" t="s">
        <v>159</v>
      </c>
      <c r="AI1" s="3" t="s">
        <v>160</v>
      </c>
    </row>
    <row r="2" spans="1:35" x14ac:dyDescent="0.3">
      <c r="A2" s="30">
        <v>1</v>
      </c>
      <c r="B2" s="30" t="s">
        <v>161</v>
      </c>
      <c r="C2" s="30" t="s">
        <v>18</v>
      </c>
      <c r="D2" s="31">
        <v>46047</v>
      </c>
      <c r="E2" s="30">
        <v>3</v>
      </c>
      <c r="F2" s="30">
        <v>0</v>
      </c>
      <c r="G2" s="32">
        <v>33725108</v>
      </c>
      <c r="H2" s="30">
        <v>33725108</v>
      </c>
      <c r="I2" s="30" t="s">
        <v>162</v>
      </c>
      <c r="J2" s="30" t="s">
        <v>163</v>
      </c>
      <c r="K2" s="30" t="s">
        <v>164</v>
      </c>
      <c r="L2" s="30" t="s">
        <v>165</v>
      </c>
      <c r="M2" s="30" t="s">
        <v>166</v>
      </c>
      <c r="N2" s="30" t="s">
        <v>167</v>
      </c>
      <c r="O2" s="30">
        <v>33725108</v>
      </c>
      <c r="P2" s="30">
        <v>1</v>
      </c>
      <c r="Q2" s="30" t="s">
        <v>168</v>
      </c>
      <c r="R2" s="30" t="s">
        <v>169</v>
      </c>
      <c r="S2" s="30" t="s">
        <v>170</v>
      </c>
      <c r="T2" s="30" t="s">
        <v>171</v>
      </c>
      <c r="U2" s="30" t="s">
        <v>18</v>
      </c>
      <c r="V2" s="30" t="s">
        <v>172</v>
      </c>
      <c r="W2" s="30" t="s">
        <v>173</v>
      </c>
      <c r="X2" s="30" t="s">
        <v>174</v>
      </c>
      <c r="Y2" s="30" t="s">
        <v>175</v>
      </c>
      <c r="Z2" s="30">
        <v>1</v>
      </c>
      <c r="AA2" s="30" t="s">
        <v>176</v>
      </c>
      <c r="AB2" s="30">
        <v>11</v>
      </c>
      <c r="AC2" s="30" t="s">
        <v>177</v>
      </c>
      <c r="AD2" s="30" t="s">
        <v>178</v>
      </c>
      <c r="AE2" s="30" t="s">
        <v>18</v>
      </c>
      <c r="AF2" s="30" t="s">
        <v>16</v>
      </c>
      <c r="AG2" s="30" t="s">
        <v>92</v>
      </c>
      <c r="AH2" s="30" t="s">
        <v>4</v>
      </c>
      <c r="AI2" s="30" t="s">
        <v>93</v>
      </c>
    </row>
    <row r="3" spans="1:35" x14ac:dyDescent="0.3">
      <c r="A3" s="30">
        <v>2</v>
      </c>
      <c r="B3" s="30" t="s">
        <v>161</v>
      </c>
      <c r="C3" s="30" t="s">
        <v>18</v>
      </c>
      <c r="D3" s="31">
        <v>46047</v>
      </c>
      <c r="E3" s="30">
        <v>3</v>
      </c>
      <c r="F3" s="30">
        <v>0</v>
      </c>
      <c r="G3" s="32">
        <v>14468693</v>
      </c>
      <c r="H3" s="30">
        <v>48193801</v>
      </c>
      <c r="I3" s="30" t="s">
        <v>179</v>
      </c>
      <c r="J3" s="30" t="s">
        <v>180</v>
      </c>
      <c r="K3" s="30" t="s">
        <v>181</v>
      </c>
      <c r="L3" s="30" t="s">
        <v>165</v>
      </c>
      <c r="M3" s="30" t="s">
        <v>166</v>
      </c>
      <c r="N3" s="30" t="s">
        <v>167</v>
      </c>
      <c r="O3" s="30">
        <v>14468693</v>
      </c>
      <c r="P3" s="30">
        <v>1</v>
      </c>
      <c r="Q3" s="30" t="s">
        <v>168</v>
      </c>
      <c r="R3" s="30" t="s">
        <v>169</v>
      </c>
      <c r="S3" s="30" t="s">
        <v>170</v>
      </c>
      <c r="T3" s="30" t="s">
        <v>171</v>
      </c>
      <c r="U3" s="30" t="s">
        <v>18</v>
      </c>
      <c r="V3" s="30" t="s">
        <v>172</v>
      </c>
      <c r="W3" s="30" t="s">
        <v>173</v>
      </c>
      <c r="X3" s="30" t="s">
        <v>174</v>
      </c>
      <c r="Y3" s="30" t="s">
        <v>175</v>
      </c>
      <c r="Z3" s="30">
        <v>4</v>
      </c>
      <c r="AA3" s="30" t="s">
        <v>176</v>
      </c>
      <c r="AB3" s="30">
        <v>11</v>
      </c>
      <c r="AC3" s="30" t="s">
        <v>177</v>
      </c>
      <c r="AD3" s="30" t="s">
        <v>178</v>
      </c>
      <c r="AE3" s="30" t="s">
        <v>18</v>
      </c>
      <c r="AF3" s="30" t="s">
        <v>16</v>
      </c>
      <c r="AG3" s="30" t="s">
        <v>90</v>
      </c>
      <c r="AH3" s="30" t="s">
        <v>4</v>
      </c>
      <c r="AI3" s="30" t="s">
        <v>91</v>
      </c>
    </row>
    <row r="4" spans="1:35" x14ac:dyDescent="0.3">
      <c r="A4" s="30">
        <v>3</v>
      </c>
      <c r="B4" s="30" t="s">
        <v>161</v>
      </c>
      <c r="C4" s="30" t="s">
        <v>18</v>
      </c>
      <c r="D4" s="31">
        <v>46052</v>
      </c>
      <c r="E4" s="30">
        <v>44</v>
      </c>
      <c r="F4" s="30">
        <v>0</v>
      </c>
      <c r="G4" s="32">
        <v>121442</v>
      </c>
      <c r="H4" s="30">
        <v>48315243</v>
      </c>
      <c r="I4" s="30" t="s">
        <v>182</v>
      </c>
      <c r="J4" s="30" t="s">
        <v>183</v>
      </c>
      <c r="K4" s="30" t="s">
        <v>184</v>
      </c>
      <c r="L4" s="30" t="s">
        <v>185</v>
      </c>
      <c r="M4" s="30" t="s">
        <v>186</v>
      </c>
      <c r="N4" s="30" t="s">
        <v>167</v>
      </c>
      <c r="O4" s="30">
        <v>121442</v>
      </c>
      <c r="P4" s="30">
        <v>1</v>
      </c>
      <c r="Q4" s="30" t="s">
        <v>187</v>
      </c>
      <c r="R4" s="30" t="s">
        <v>188</v>
      </c>
      <c r="S4" s="30" t="s">
        <v>170</v>
      </c>
      <c r="T4" s="30" t="s">
        <v>171</v>
      </c>
      <c r="U4" s="30" t="s">
        <v>18</v>
      </c>
      <c r="V4" s="30" t="s">
        <v>172</v>
      </c>
      <c r="W4" s="30" t="s">
        <v>173</v>
      </c>
      <c r="X4" s="30" t="s">
        <v>189</v>
      </c>
      <c r="Y4" s="30" t="s">
        <v>190</v>
      </c>
      <c r="Z4" s="30">
        <v>1</v>
      </c>
      <c r="AA4" s="30" t="s">
        <v>176</v>
      </c>
      <c r="AB4" s="30">
        <v>11</v>
      </c>
      <c r="AC4" s="30" t="s">
        <v>177</v>
      </c>
      <c r="AD4" s="30" t="s">
        <v>178</v>
      </c>
      <c r="AE4" s="30" t="s">
        <v>18</v>
      </c>
      <c r="AF4" s="30" t="s">
        <v>16</v>
      </c>
      <c r="AG4" s="30" t="s">
        <v>83</v>
      </c>
      <c r="AH4" s="30" t="s">
        <v>4</v>
      </c>
      <c r="AI4" s="30" t="s">
        <v>84</v>
      </c>
    </row>
    <row r="5" spans="1:35" x14ac:dyDescent="0.3">
      <c r="A5" s="30">
        <v>4</v>
      </c>
      <c r="B5" s="30" t="s">
        <v>161</v>
      </c>
      <c r="C5" s="30" t="s">
        <v>18</v>
      </c>
      <c r="D5" s="31">
        <v>46053</v>
      </c>
      <c r="E5" s="30">
        <v>339</v>
      </c>
      <c r="F5" s="30">
        <v>0</v>
      </c>
      <c r="G5" s="32">
        <v>835680</v>
      </c>
      <c r="H5" s="30">
        <v>49150923</v>
      </c>
      <c r="I5" s="30" t="s">
        <v>191</v>
      </c>
      <c r="J5" s="30" t="s">
        <v>192</v>
      </c>
      <c r="K5" s="30" t="s">
        <v>193</v>
      </c>
      <c r="L5" s="30" t="s">
        <v>194</v>
      </c>
      <c r="M5" s="30" t="s">
        <v>195</v>
      </c>
      <c r="N5" s="30" t="s">
        <v>167</v>
      </c>
      <c r="O5" s="30">
        <v>835680</v>
      </c>
      <c r="P5" s="30">
        <v>1</v>
      </c>
      <c r="Q5" s="30" t="s">
        <v>168</v>
      </c>
      <c r="R5" s="30" t="s">
        <v>169</v>
      </c>
      <c r="S5" s="30"/>
      <c r="T5" s="30"/>
      <c r="U5" s="30"/>
      <c r="V5" s="30" t="s">
        <v>172</v>
      </c>
      <c r="W5" s="30" t="s">
        <v>173</v>
      </c>
      <c r="X5" s="30" t="s">
        <v>174</v>
      </c>
      <c r="Y5" s="30" t="s">
        <v>196</v>
      </c>
      <c r="Z5" s="30">
        <v>2</v>
      </c>
      <c r="AA5" s="30" t="s">
        <v>197</v>
      </c>
      <c r="AB5" s="30">
        <v>11</v>
      </c>
      <c r="AC5" s="30" t="s">
        <v>177</v>
      </c>
      <c r="AD5" s="30" t="s">
        <v>178</v>
      </c>
      <c r="AE5" s="30" t="s">
        <v>18</v>
      </c>
      <c r="AF5" s="30" t="s">
        <v>16</v>
      </c>
      <c r="AG5" s="30" t="s">
        <v>87</v>
      </c>
      <c r="AH5" s="30" t="s">
        <v>4</v>
      </c>
      <c r="AI5" s="30" t="s">
        <v>88</v>
      </c>
    </row>
    <row r="6" spans="1:35" x14ac:dyDescent="0.3">
      <c r="A6" s="30">
        <v>5</v>
      </c>
      <c r="B6" s="30" t="s">
        <v>161</v>
      </c>
      <c r="C6" s="30" t="s">
        <v>18</v>
      </c>
      <c r="D6" s="31">
        <v>46053</v>
      </c>
      <c r="E6" s="30">
        <v>338</v>
      </c>
      <c r="F6" s="30">
        <v>0</v>
      </c>
      <c r="G6" s="32">
        <v>175000</v>
      </c>
      <c r="H6" s="30">
        <v>49325923</v>
      </c>
      <c r="I6" s="30" t="s">
        <v>198</v>
      </c>
      <c r="J6" s="30" t="s">
        <v>199</v>
      </c>
      <c r="K6" s="30" t="s">
        <v>200</v>
      </c>
      <c r="L6" s="30" t="s">
        <v>194</v>
      </c>
      <c r="M6" s="30" t="s">
        <v>195</v>
      </c>
      <c r="N6" s="30" t="s">
        <v>167</v>
      </c>
      <c r="O6" s="30">
        <v>175000</v>
      </c>
      <c r="P6" s="30">
        <v>1</v>
      </c>
      <c r="Q6" s="30" t="s">
        <v>168</v>
      </c>
      <c r="R6" s="30" t="s">
        <v>169</v>
      </c>
      <c r="S6" s="30"/>
      <c r="T6" s="30"/>
      <c r="U6" s="30"/>
      <c r="V6" s="30" t="s">
        <v>172</v>
      </c>
      <c r="W6" s="30" t="s">
        <v>173</v>
      </c>
      <c r="X6" s="30" t="s">
        <v>174</v>
      </c>
      <c r="Y6" s="30" t="s">
        <v>201</v>
      </c>
      <c r="Z6" s="30">
        <v>3</v>
      </c>
      <c r="AA6" s="30" t="s">
        <v>197</v>
      </c>
      <c r="AB6" s="30">
        <v>11</v>
      </c>
      <c r="AC6" s="30" t="s">
        <v>177</v>
      </c>
      <c r="AD6" s="30" t="s">
        <v>178</v>
      </c>
      <c r="AE6" s="30" t="s">
        <v>18</v>
      </c>
      <c r="AF6" s="30" t="s">
        <v>16</v>
      </c>
      <c r="AG6" s="30" t="s">
        <v>78</v>
      </c>
      <c r="AH6" s="30" t="s">
        <v>4</v>
      </c>
      <c r="AI6" s="30" t="s">
        <v>79</v>
      </c>
    </row>
    <row r="7" spans="1:35" x14ac:dyDescent="0.3">
      <c r="A7" s="30">
        <v>6</v>
      </c>
      <c r="B7" s="30" t="s">
        <v>161</v>
      </c>
      <c r="C7" s="30" t="s">
        <v>18</v>
      </c>
      <c r="D7" s="31">
        <v>46053</v>
      </c>
      <c r="E7" s="30">
        <v>341</v>
      </c>
      <c r="F7" s="30">
        <v>0</v>
      </c>
      <c r="G7" s="32">
        <v>13048244</v>
      </c>
      <c r="H7" s="30">
        <v>62374167</v>
      </c>
      <c r="I7" s="30" t="s">
        <v>202</v>
      </c>
      <c r="J7" s="30" t="s">
        <v>163</v>
      </c>
      <c r="K7" s="30" t="s">
        <v>164</v>
      </c>
      <c r="L7" s="30" t="s">
        <v>203</v>
      </c>
      <c r="M7" s="30" t="s">
        <v>173</v>
      </c>
      <c r="N7" s="30" t="s">
        <v>167</v>
      </c>
      <c r="O7" s="30">
        <v>13048244</v>
      </c>
      <c r="P7" s="30">
        <v>1</v>
      </c>
      <c r="Q7" s="30" t="s">
        <v>168</v>
      </c>
      <c r="R7" s="30" t="s">
        <v>169</v>
      </c>
      <c r="S7" s="30"/>
      <c r="T7" s="30"/>
      <c r="U7" s="30"/>
      <c r="V7" s="30" t="s">
        <v>172</v>
      </c>
      <c r="W7" s="30" t="s">
        <v>173</v>
      </c>
      <c r="X7" s="30" t="s">
        <v>174</v>
      </c>
      <c r="Y7" s="30" t="s">
        <v>204</v>
      </c>
      <c r="Z7" s="30">
        <v>2</v>
      </c>
      <c r="AA7" s="30" t="s">
        <v>197</v>
      </c>
      <c r="AB7" s="30">
        <v>12</v>
      </c>
      <c r="AC7" s="30" t="s">
        <v>205</v>
      </c>
      <c r="AD7" s="30" t="s">
        <v>178</v>
      </c>
      <c r="AE7" s="30" t="s">
        <v>18</v>
      </c>
      <c r="AF7" s="30" t="s">
        <v>16</v>
      </c>
      <c r="AG7" s="30" t="s">
        <v>92</v>
      </c>
      <c r="AH7" s="30" t="s">
        <v>4</v>
      </c>
      <c r="AI7" s="30" t="s">
        <v>93</v>
      </c>
    </row>
    <row r="8" spans="1:35" x14ac:dyDescent="0.3">
      <c r="A8" s="30">
        <v>7</v>
      </c>
      <c r="B8" s="30" t="s">
        <v>161</v>
      </c>
      <c r="C8" s="30" t="s">
        <v>18</v>
      </c>
      <c r="D8" s="31">
        <v>46053</v>
      </c>
      <c r="E8" s="30">
        <v>341</v>
      </c>
      <c r="F8" s="30">
        <v>0</v>
      </c>
      <c r="G8" s="32">
        <v>29397672</v>
      </c>
      <c r="H8" s="30">
        <v>91771839</v>
      </c>
      <c r="I8" s="30" t="s">
        <v>206</v>
      </c>
      <c r="J8" s="30" t="s">
        <v>180</v>
      </c>
      <c r="K8" s="30" t="s">
        <v>181</v>
      </c>
      <c r="L8" s="30" t="s">
        <v>203</v>
      </c>
      <c r="M8" s="30" t="s">
        <v>173</v>
      </c>
      <c r="N8" s="30" t="s">
        <v>167</v>
      </c>
      <c r="O8" s="30">
        <v>29397672</v>
      </c>
      <c r="P8" s="30">
        <v>1</v>
      </c>
      <c r="Q8" s="30" t="s">
        <v>168</v>
      </c>
      <c r="R8" s="30" t="s">
        <v>169</v>
      </c>
      <c r="S8" s="30"/>
      <c r="T8" s="30"/>
      <c r="U8" s="30"/>
      <c r="V8" s="30" t="s">
        <v>172</v>
      </c>
      <c r="W8" s="30" t="s">
        <v>173</v>
      </c>
      <c r="X8" s="30" t="s">
        <v>174</v>
      </c>
      <c r="Y8" s="30" t="s">
        <v>204</v>
      </c>
      <c r="Z8" s="30">
        <v>4</v>
      </c>
      <c r="AA8" s="30" t="s">
        <v>197</v>
      </c>
      <c r="AB8" s="30">
        <v>12</v>
      </c>
      <c r="AC8" s="30" t="s">
        <v>205</v>
      </c>
      <c r="AD8" s="30" t="s">
        <v>178</v>
      </c>
      <c r="AE8" s="30" t="s">
        <v>18</v>
      </c>
      <c r="AF8" s="30" t="s">
        <v>16</v>
      </c>
      <c r="AG8" s="30" t="s">
        <v>90</v>
      </c>
      <c r="AH8" s="30" t="s">
        <v>4</v>
      </c>
      <c r="AI8" s="30" t="s">
        <v>91</v>
      </c>
    </row>
    <row r="9" spans="1:35" x14ac:dyDescent="0.3">
      <c r="A9" s="30">
        <v>8</v>
      </c>
      <c r="B9" s="30" t="s">
        <v>161</v>
      </c>
      <c r="C9" s="30" t="s">
        <v>18</v>
      </c>
      <c r="D9" s="31">
        <v>46053</v>
      </c>
      <c r="E9" s="30">
        <v>341</v>
      </c>
      <c r="F9" s="30">
        <v>0</v>
      </c>
      <c r="G9" s="32">
        <v>132223</v>
      </c>
      <c r="H9" s="30">
        <v>91904062</v>
      </c>
      <c r="I9" s="30" t="s">
        <v>207</v>
      </c>
      <c r="J9" s="30" t="s">
        <v>192</v>
      </c>
      <c r="K9" s="30" t="s">
        <v>193</v>
      </c>
      <c r="L9" s="30" t="s">
        <v>203</v>
      </c>
      <c r="M9" s="30" t="s">
        <v>173</v>
      </c>
      <c r="N9" s="30" t="s">
        <v>167</v>
      </c>
      <c r="O9" s="30">
        <v>132223</v>
      </c>
      <c r="P9" s="30">
        <v>1</v>
      </c>
      <c r="Q9" s="30" t="s">
        <v>168</v>
      </c>
      <c r="R9" s="30" t="s">
        <v>169</v>
      </c>
      <c r="S9" s="30"/>
      <c r="T9" s="30"/>
      <c r="U9" s="30"/>
      <c r="V9" s="30" t="s">
        <v>172</v>
      </c>
      <c r="W9" s="30" t="s">
        <v>173</v>
      </c>
      <c r="X9" s="30" t="s">
        <v>174</v>
      </c>
      <c r="Y9" s="30" t="s">
        <v>204</v>
      </c>
      <c r="Z9" s="30">
        <v>6</v>
      </c>
      <c r="AA9" s="30" t="s">
        <v>197</v>
      </c>
      <c r="AB9" s="30">
        <v>12</v>
      </c>
      <c r="AC9" s="30" t="s">
        <v>205</v>
      </c>
      <c r="AD9" s="30" t="s">
        <v>178</v>
      </c>
      <c r="AE9" s="30" t="s">
        <v>18</v>
      </c>
      <c r="AF9" s="30" t="s">
        <v>16</v>
      </c>
      <c r="AG9" s="30" t="s">
        <v>87</v>
      </c>
      <c r="AH9" s="30" t="s">
        <v>4</v>
      </c>
      <c r="AI9" s="30" t="s">
        <v>88</v>
      </c>
    </row>
    <row r="10" spans="1:35" x14ac:dyDescent="0.3">
      <c r="A10" s="30">
        <v>9</v>
      </c>
      <c r="B10" s="30" t="s">
        <v>161</v>
      </c>
      <c r="C10" s="30" t="s">
        <v>18</v>
      </c>
      <c r="D10" s="31">
        <v>46053</v>
      </c>
      <c r="E10" s="30">
        <v>386</v>
      </c>
      <c r="F10" s="30">
        <v>0</v>
      </c>
      <c r="G10" s="32">
        <v>18413940</v>
      </c>
      <c r="H10" s="30">
        <v>110318002</v>
      </c>
      <c r="I10" s="30" t="s">
        <v>208</v>
      </c>
      <c r="J10" s="30" t="s">
        <v>209</v>
      </c>
      <c r="K10" s="30" t="s">
        <v>210</v>
      </c>
      <c r="L10" s="30" t="s">
        <v>211</v>
      </c>
      <c r="M10" s="30" t="s">
        <v>212</v>
      </c>
      <c r="N10" s="30" t="s">
        <v>167</v>
      </c>
      <c r="O10" s="30">
        <v>18413940</v>
      </c>
      <c r="P10" s="30">
        <v>1</v>
      </c>
      <c r="Q10" s="30" t="s">
        <v>213</v>
      </c>
      <c r="R10" s="30" t="s">
        <v>214</v>
      </c>
      <c r="S10" s="30" t="s">
        <v>170</v>
      </c>
      <c r="T10" s="30" t="s">
        <v>171</v>
      </c>
      <c r="U10" s="30" t="s">
        <v>18</v>
      </c>
      <c r="V10" s="30" t="s">
        <v>172</v>
      </c>
      <c r="W10" s="30" t="s">
        <v>173</v>
      </c>
      <c r="X10" s="30" t="s">
        <v>189</v>
      </c>
      <c r="Y10" s="30" t="s">
        <v>215</v>
      </c>
      <c r="Z10" s="30">
        <v>1</v>
      </c>
      <c r="AA10" s="30" t="s">
        <v>176</v>
      </c>
      <c r="AB10" s="30">
        <v>11</v>
      </c>
      <c r="AC10" s="30" t="s">
        <v>177</v>
      </c>
      <c r="AD10" s="30" t="s">
        <v>178</v>
      </c>
      <c r="AE10" s="30" t="s">
        <v>18</v>
      </c>
      <c r="AF10" s="30" t="s">
        <v>16</v>
      </c>
      <c r="AG10" s="30" t="s">
        <v>94</v>
      </c>
      <c r="AH10" s="30" t="s">
        <v>4</v>
      </c>
      <c r="AI10" s="30" t="s">
        <v>95</v>
      </c>
    </row>
    <row r="11" spans="1:35" x14ac:dyDescent="0.3">
      <c r="A11" s="30">
        <v>10</v>
      </c>
      <c r="B11" s="30" t="s">
        <v>161</v>
      </c>
      <c r="C11" s="30" t="s">
        <v>18</v>
      </c>
      <c r="D11" s="31">
        <v>46053</v>
      </c>
      <c r="E11" s="30">
        <v>386</v>
      </c>
      <c r="F11" s="30">
        <v>0</v>
      </c>
      <c r="G11" s="32">
        <v>15551596</v>
      </c>
      <c r="H11" s="30">
        <v>125869598</v>
      </c>
      <c r="I11" s="30" t="s">
        <v>208</v>
      </c>
      <c r="J11" s="30" t="s">
        <v>209</v>
      </c>
      <c r="K11" s="30" t="s">
        <v>210</v>
      </c>
      <c r="L11" s="30" t="s">
        <v>211</v>
      </c>
      <c r="M11" s="30" t="s">
        <v>212</v>
      </c>
      <c r="N11" s="30" t="s">
        <v>167</v>
      </c>
      <c r="O11" s="30">
        <v>15551596</v>
      </c>
      <c r="P11" s="30">
        <v>1</v>
      </c>
      <c r="Q11" s="30" t="s">
        <v>216</v>
      </c>
      <c r="R11" s="30" t="s">
        <v>217</v>
      </c>
      <c r="S11" s="30" t="s">
        <v>170</v>
      </c>
      <c r="T11" s="30" t="s">
        <v>171</v>
      </c>
      <c r="U11" s="30" t="s">
        <v>18</v>
      </c>
      <c r="V11" s="30" t="s">
        <v>172</v>
      </c>
      <c r="W11" s="30" t="s">
        <v>173</v>
      </c>
      <c r="X11" s="30" t="s">
        <v>189</v>
      </c>
      <c r="Y11" s="30" t="s">
        <v>215</v>
      </c>
      <c r="Z11" s="30">
        <v>4</v>
      </c>
      <c r="AA11" s="30" t="s">
        <v>176</v>
      </c>
      <c r="AB11" s="30">
        <v>11</v>
      </c>
      <c r="AC11" s="30" t="s">
        <v>177</v>
      </c>
      <c r="AD11" s="30" t="s">
        <v>178</v>
      </c>
      <c r="AE11" s="30" t="s">
        <v>18</v>
      </c>
      <c r="AF11" s="30" t="s">
        <v>16</v>
      </c>
      <c r="AG11" s="30" t="s">
        <v>94</v>
      </c>
      <c r="AH11" s="30" t="s">
        <v>4</v>
      </c>
      <c r="AI11" s="30" t="s">
        <v>95</v>
      </c>
    </row>
    <row r="12" spans="1:35" x14ac:dyDescent="0.3">
      <c r="A12" s="30">
        <v>11</v>
      </c>
      <c r="B12" s="30" t="s">
        <v>161</v>
      </c>
      <c r="C12" s="30" t="s">
        <v>18</v>
      </c>
      <c r="D12" s="31">
        <v>46053</v>
      </c>
      <c r="E12" s="30">
        <v>387</v>
      </c>
      <c r="F12" s="30">
        <v>0</v>
      </c>
      <c r="G12" s="32">
        <v>831597</v>
      </c>
      <c r="H12" s="30">
        <v>126701195</v>
      </c>
      <c r="I12" s="30" t="s">
        <v>218</v>
      </c>
      <c r="J12" s="30" t="s">
        <v>180</v>
      </c>
      <c r="K12" s="30" t="s">
        <v>181</v>
      </c>
      <c r="L12" s="30" t="s">
        <v>219</v>
      </c>
      <c r="M12" s="30" t="s">
        <v>220</v>
      </c>
      <c r="N12" s="30" t="s">
        <v>167</v>
      </c>
      <c r="O12" s="30">
        <v>831597</v>
      </c>
      <c r="P12" s="30">
        <v>1</v>
      </c>
      <c r="Q12" s="30" t="s">
        <v>168</v>
      </c>
      <c r="R12" s="30" t="s">
        <v>169</v>
      </c>
      <c r="S12" s="30" t="s">
        <v>170</v>
      </c>
      <c r="T12" s="30" t="s">
        <v>171</v>
      </c>
      <c r="U12" s="30" t="s">
        <v>18</v>
      </c>
      <c r="V12" s="30" t="s">
        <v>172</v>
      </c>
      <c r="W12" s="30" t="s">
        <v>173</v>
      </c>
      <c r="X12" s="30" t="s">
        <v>189</v>
      </c>
      <c r="Y12" s="30" t="s">
        <v>221</v>
      </c>
      <c r="Z12" s="30">
        <v>1</v>
      </c>
      <c r="AA12" s="30" t="s">
        <v>176</v>
      </c>
      <c r="AB12" s="30">
        <v>11</v>
      </c>
      <c r="AC12" s="30" t="s">
        <v>177</v>
      </c>
      <c r="AD12" s="30" t="s">
        <v>178</v>
      </c>
      <c r="AE12" s="30" t="s">
        <v>18</v>
      </c>
      <c r="AF12" s="30" t="s">
        <v>16</v>
      </c>
      <c r="AG12" s="30" t="s">
        <v>90</v>
      </c>
      <c r="AH12" s="30" t="s">
        <v>4</v>
      </c>
      <c r="AI12" s="30" t="s">
        <v>91</v>
      </c>
    </row>
    <row r="13" spans="1:35" x14ac:dyDescent="0.3">
      <c r="A13" s="30">
        <v>12</v>
      </c>
      <c r="B13" s="30" t="s">
        <v>161</v>
      </c>
      <c r="C13" s="30" t="s">
        <v>18</v>
      </c>
      <c r="D13" s="31">
        <v>46053</v>
      </c>
      <c r="E13" s="30">
        <v>1094</v>
      </c>
      <c r="F13" s="30">
        <v>0</v>
      </c>
      <c r="G13" s="32">
        <v>2679557</v>
      </c>
      <c r="H13" s="30">
        <v>129380752</v>
      </c>
      <c r="I13" s="30" t="s">
        <v>222</v>
      </c>
      <c r="J13" s="30" t="s">
        <v>163</v>
      </c>
      <c r="K13" s="30" t="s">
        <v>164</v>
      </c>
      <c r="L13" s="30" t="s">
        <v>194</v>
      </c>
      <c r="M13" s="30" t="s">
        <v>195</v>
      </c>
      <c r="N13" s="30" t="s">
        <v>167</v>
      </c>
      <c r="O13" s="30">
        <v>2679557</v>
      </c>
      <c r="P13" s="30">
        <v>1</v>
      </c>
      <c r="Q13" s="30" t="s">
        <v>168</v>
      </c>
      <c r="R13" s="30" t="s">
        <v>169</v>
      </c>
      <c r="S13" s="30"/>
      <c r="T13" s="30"/>
      <c r="U13" s="30"/>
      <c r="V13" s="30" t="s">
        <v>172</v>
      </c>
      <c r="W13" s="30" t="s">
        <v>173</v>
      </c>
      <c r="X13" s="30" t="s">
        <v>189</v>
      </c>
      <c r="Y13" s="30" t="s">
        <v>223</v>
      </c>
      <c r="Z13" s="30">
        <v>1</v>
      </c>
      <c r="AA13" s="30" t="s">
        <v>197</v>
      </c>
      <c r="AB13" s="30">
        <v>11</v>
      </c>
      <c r="AC13" s="30" t="s">
        <v>177</v>
      </c>
      <c r="AD13" s="30" t="s">
        <v>178</v>
      </c>
      <c r="AE13" s="30" t="s">
        <v>18</v>
      </c>
      <c r="AF13" s="30" t="s">
        <v>16</v>
      </c>
      <c r="AG13" s="30" t="s">
        <v>92</v>
      </c>
      <c r="AH13" s="30" t="s">
        <v>4</v>
      </c>
      <c r="AI13" s="30" t="s">
        <v>93</v>
      </c>
    </row>
    <row r="14" spans="1:35" x14ac:dyDescent="0.3">
      <c r="A14" s="30">
        <v>13</v>
      </c>
      <c r="B14" s="30" t="s">
        <v>161</v>
      </c>
      <c r="C14" s="30" t="s">
        <v>18</v>
      </c>
      <c r="D14" s="31">
        <v>46053</v>
      </c>
      <c r="E14" s="30">
        <v>1094</v>
      </c>
      <c r="F14" s="30">
        <v>0</v>
      </c>
      <c r="G14" s="32">
        <v>612796</v>
      </c>
      <c r="H14" s="30">
        <v>129993548</v>
      </c>
      <c r="I14" s="30" t="s">
        <v>224</v>
      </c>
      <c r="J14" s="30" t="s">
        <v>180</v>
      </c>
      <c r="K14" s="30" t="s">
        <v>181</v>
      </c>
      <c r="L14" s="30" t="s">
        <v>194</v>
      </c>
      <c r="M14" s="30" t="s">
        <v>195</v>
      </c>
      <c r="N14" s="30" t="s">
        <v>167</v>
      </c>
      <c r="O14" s="30">
        <v>612796</v>
      </c>
      <c r="P14" s="30">
        <v>1</v>
      </c>
      <c r="Q14" s="30" t="s">
        <v>168</v>
      </c>
      <c r="R14" s="30" t="s">
        <v>169</v>
      </c>
      <c r="S14" s="30"/>
      <c r="T14" s="30"/>
      <c r="U14" s="30"/>
      <c r="V14" s="30" t="s">
        <v>172</v>
      </c>
      <c r="W14" s="30" t="s">
        <v>173</v>
      </c>
      <c r="X14" s="30" t="s">
        <v>189</v>
      </c>
      <c r="Y14" s="30" t="s">
        <v>223</v>
      </c>
      <c r="Z14" s="30">
        <v>4</v>
      </c>
      <c r="AA14" s="30" t="s">
        <v>197</v>
      </c>
      <c r="AB14" s="30">
        <v>11</v>
      </c>
      <c r="AC14" s="30" t="s">
        <v>177</v>
      </c>
      <c r="AD14" s="30" t="s">
        <v>178</v>
      </c>
      <c r="AE14" s="30" t="s">
        <v>18</v>
      </c>
      <c r="AF14" s="30" t="s">
        <v>16</v>
      </c>
      <c r="AG14" s="30" t="s">
        <v>90</v>
      </c>
      <c r="AH14" s="30" t="s">
        <v>4</v>
      </c>
      <c r="AI14" s="30" t="s">
        <v>91</v>
      </c>
    </row>
    <row r="15" spans="1:35" x14ac:dyDescent="0.3">
      <c r="A15" s="30">
        <v>14</v>
      </c>
      <c r="B15" s="30" t="s">
        <v>161</v>
      </c>
      <c r="C15" s="30" t="s">
        <v>18</v>
      </c>
      <c r="D15" s="31">
        <v>46053</v>
      </c>
      <c r="E15" s="30">
        <v>1143</v>
      </c>
      <c r="F15" s="30">
        <v>0</v>
      </c>
      <c r="G15" s="32">
        <v>600000</v>
      </c>
      <c r="H15" s="30">
        <v>130593548</v>
      </c>
      <c r="I15" s="30" t="s">
        <v>225</v>
      </c>
      <c r="J15" s="30" t="s">
        <v>180</v>
      </c>
      <c r="K15" s="30" t="s">
        <v>181</v>
      </c>
      <c r="L15" s="30" t="s">
        <v>226</v>
      </c>
      <c r="M15" s="30" t="s">
        <v>227</v>
      </c>
      <c r="N15" s="30" t="s">
        <v>167</v>
      </c>
      <c r="O15" s="30">
        <v>600000</v>
      </c>
      <c r="P15" s="30">
        <v>1</v>
      </c>
      <c r="Q15" s="30" t="s">
        <v>168</v>
      </c>
      <c r="R15" s="30" t="s">
        <v>169</v>
      </c>
      <c r="S15" s="30" t="s">
        <v>170</v>
      </c>
      <c r="T15" s="30" t="s">
        <v>171</v>
      </c>
      <c r="U15" s="30" t="s">
        <v>18</v>
      </c>
      <c r="V15" s="30" t="s">
        <v>172</v>
      </c>
      <c r="W15" s="30" t="s">
        <v>173</v>
      </c>
      <c r="X15" s="30" t="s">
        <v>228</v>
      </c>
      <c r="Y15" s="30" t="s">
        <v>229</v>
      </c>
      <c r="Z15" s="30">
        <v>1</v>
      </c>
      <c r="AA15" s="30" t="s">
        <v>176</v>
      </c>
      <c r="AB15" s="30">
        <v>11</v>
      </c>
      <c r="AC15" s="30" t="s">
        <v>177</v>
      </c>
      <c r="AD15" s="30" t="s">
        <v>178</v>
      </c>
      <c r="AE15" s="30" t="s">
        <v>18</v>
      </c>
      <c r="AF15" s="30" t="s">
        <v>16</v>
      </c>
      <c r="AG15" s="30" t="s">
        <v>90</v>
      </c>
      <c r="AH15" s="30" t="s">
        <v>4</v>
      </c>
      <c r="AI15" s="30" t="s">
        <v>91</v>
      </c>
    </row>
    <row r="16" spans="1:35" x14ac:dyDescent="0.3">
      <c r="A16" s="30">
        <v>16</v>
      </c>
      <c r="B16" s="30" t="s">
        <v>161</v>
      </c>
      <c r="C16" s="30" t="s">
        <v>18</v>
      </c>
      <c r="D16" s="31">
        <v>46053</v>
      </c>
      <c r="E16" s="30">
        <v>1187</v>
      </c>
      <c r="F16" s="30">
        <v>0</v>
      </c>
      <c r="G16" s="32">
        <v>989829</v>
      </c>
      <c r="H16" s="30">
        <v>447697</v>
      </c>
      <c r="I16" s="30" t="s">
        <v>230</v>
      </c>
      <c r="J16" s="30" t="s">
        <v>231</v>
      </c>
      <c r="K16" s="30" t="s">
        <v>232</v>
      </c>
      <c r="L16" s="30" t="s">
        <v>211</v>
      </c>
      <c r="M16" s="30" t="s">
        <v>212</v>
      </c>
      <c r="N16" s="30" t="s">
        <v>167</v>
      </c>
      <c r="O16" s="30">
        <v>989829</v>
      </c>
      <c r="P16" s="30">
        <v>1</v>
      </c>
      <c r="Q16" s="30" t="s">
        <v>168</v>
      </c>
      <c r="R16" s="30" t="s">
        <v>169</v>
      </c>
      <c r="S16" s="30"/>
      <c r="T16" s="30"/>
      <c r="U16" s="30"/>
      <c r="V16" s="30" t="s">
        <v>172</v>
      </c>
      <c r="W16" s="30" t="s">
        <v>173</v>
      </c>
      <c r="X16" s="30" t="s">
        <v>189</v>
      </c>
      <c r="Y16" s="30" t="s">
        <v>233</v>
      </c>
      <c r="Z16" s="30">
        <v>10</v>
      </c>
      <c r="AA16" s="30" t="s">
        <v>197</v>
      </c>
      <c r="AB16" s="30">
        <v>11</v>
      </c>
      <c r="AC16" s="30" t="s">
        <v>177</v>
      </c>
      <c r="AD16" s="30" t="s">
        <v>178</v>
      </c>
      <c r="AE16" s="30" t="s">
        <v>18</v>
      </c>
      <c r="AF16" s="30" t="s">
        <v>61</v>
      </c>
      <c r="AG16" s="30" t="s">
        <v>65</v>
      </c>
      <c r="AH16" s="30" t="s">
        <v>4</v>
      </c>
      <c r="AI16" s="30"/>
    </row>
    <row r="17" spans="1:35" x14ac:dyDescent="0.3">
      <c r="A17" s="30">
        <v>17</v>
      </c>
      <c r="B17" s="30" t="s">
        <v>161</v>
      </c>
      <c r="C17" s="30" t="s">
        <v>18</v>
      </c>
      <c r="D17" s="31">
        <v>46053</v>
      </c>
      <c r="E17" s="30">
        <v>1187</v>
      </c>
      <c r="F17" s="30">
        <v>0</v>
      </c>
      <c r="G17" s="32">
        <v>-367497</v>
      </c>
      <c r="H17" s="30">
        <v>80200</v>
      </c>
      <c r="I17" s="30" t="s">
        <v>234</v>
      </c>
      <c r="J17" s="30" t="s">
        <v>235</v>
      </c>
      <c r="K17" s="30" t="s">
        <v>236</v>
      </c>
      <c r="L17" s="30" t="s">
        <v>211</v>
      </c>
      <c r="M17" s="30" t="s">
        <v>212</v>
      </c>
      <c r="N17" s="30" t="s">
        <v>167</v>
      </c>
      <c r="O17" s="30">
        <v>-367497</v>
      </c>
      <c r="P17" s="30">
        <v>1</v>
      </c>
      <c r="Q17" s="30" t="s">
        <v>168</v>
      </c>
      <c r="R17" s="30" t="s">
        <v>169</v>
      </c>
      <c r="S17" s="30"/>
      <c r="T17" s="30"/>
      <c r="U17" s="30"/>
      <c r="V17" s="30" t="s">
        <v>172</v>
      </c>
      <c r="W17" s="30" t="s">
        <v>173</v>
      </c>
      <c r="X17" s="30" t="s">
        <v>189</v>
      </c>
      <c r="Y17" s="30" t="s">
        <v>233</v>
      </c>
      <c r="Z17" s="30">
        <v>11</v>
      </c>
      <c r="AA17" s="30" t="s">
        <v>197</v>
      </c>
      <c r="AB17" s="30">
        <v>11</v>
      </c>
      <c r="AC17" s="30" t="s">
        <v>177</v>
      </c>
      <c r="AD17" s="30" t="s">
        <v>178</v>
      </c>
      <c r="AE17" s="30" t="s">
        <v>18</v>
      </c>
      <c r="AF17" s="30" t="s">
        <v>16</v>
      </c>
      <c r="AG17" s="30" t="s">
        <v>77</v>
      </c>
      <c r="AH17" s="30" t="s">
        <v>4</v>
      </c>
      <c r="AI17" s="30"/>
    </row>
    <row r="18" spans="1:35" x14ac:dyDescent="0.3">
      <c r="A18" s="30">
        <v>18</v>
      </c>
      <c r="B18" s="30" t="s">
        <v>161</v>
      </c>
      <c r="C18" s="30" t="s">
        <v>18</v>
      </c>
      <c r="D18" s="31">
        <v>46053</v>
      </c>
      <c r="E18" s="30">
        <v>1187</v>
      </c>
      <c r="F18" s="30">
        <v>0</v>
      </c>
      <c r="G18" s="32">
        <v>-80200</v>
      </c>
      <c r="H18" s="30">
        <v>0</v>
      </c>
      <c r="I18" s="30" t="s">
        <v>237</v>
      </c>
      <c r="J18" s="30" t="s">
        <v>238</v>
      </c>
      <c r="K18" s="30" t="s">
        <v>239</v>
      </c>
      <c r="L18" s="30" t="s">
        <v>211</v>
      </c>
      <c r="M18" s="30" t="s">
        <v>212</v>
      </c>
      <c r="N18" s="30" t="s">
        <v>167</v>
      </c>
      <c r="O18" s="30">
        <v>-80200</v>
      </c>
      <c r="P18" s="30">
        <v>1</v>
      </c>
      <c r="Q18" s="30" t="s">
        <v>168</v>
      </c>
      <c r="R18" s="30" t="s">
        <v>169</v>
      </c>
      <c r="S18" s="30"/>
      <c r="T18" s="30"/>
      <c r="U18" s="30"/>
      <c r="V18" s="30" t="s">
        <v>172</v>
      </c>
      <c r="W18" s="30" t="s">
        <v>173</v>
      </c>
      <c r="X18" s="30" t="s">
        <v>189</v>
      </c>
      <c r="Y18" s="30" t="s">
        <v>233</v>
      </c>
      <c r="Z18" s="30">
        <v>12</v>
      </c>
      <c r="AA18" s="30" t="s">
        <v>197</v>
      </c>
      <c r="AB18" s="30">
        <v>11</v>
      </c>
      <c r="AC18" s="30" t="s">
        <v>177</v>
      </c>
      <c r="AD18" s="30" t="s">
        <v>178</v>
      </c>
      <c r="AE18" s="30" t="s">
        <v>18</v>
      </c>
      <c r="AF18" s="30" t="s">
        <v>61</v>
      </c>
      <c r="AG18" s="30" t="s">
        <v>68</v>
      </c>
      <c r="AH18" s="30" t="s">
        <v>4</v>
      </c>
      <c r="AI18" s="30"/>
    </row>
    <row r="19" spans="1:35" x14ac:dyDescent="0.3">
      <c r="A19" s="30">
        <v>21</v>
      </c>
      <c r="B19" s="30" t="s">
        <v>161</v>
      </c>
      <c r="C19" s="30" t="s">
        <v>18</v>
      </c>
      <c r="D19" s="31">
        <v>46054</v>
      </c>
      <c r="E19" s="30">
        <v>22</v>
      </c>
      <c r="F19" s="30">
        <v>0</v>
      </c>
      <c r="G19" s="32">
        <v>31189</v>
      </c>
      <c r="H19" s="30">
        <v>31189</v>
      </c>
      <c r="I19" s="30" t="s">
        <v>240</v>
      </c>
      <c r="J19" s="30" t="s">
        <v>241</v>
      </c>
      <c r="K19" s="30" t="s">
        <v>242</v>
      </c>
      <c r="L19" s="30" t="s">
        <v>219</v>
      </c>
      <c r="M19" s="30" t="s">
        <v>220</v>
      </c>
      <c r="N19" s="30" t="s">
        <v>167</v>
      </c>
      <c r="O19" s="30">
        <v>31189</v>
      </c>
      <c r="P19" s="30">
        <v>1</v>
      </c>
      <c r="Q19" s="30" t="s">
        <v>243</v>
      </c>
      <c r="R19" s="30" t="s">
        <v>244</v>
      </c>
      <c r="S19" s="30" t="s">
        <v>170</v>
      </c>
      <c r="T19" s="30" t="s">
        <v>171</v>
      </c>
      <c r="U19" s="30" t="s">
        <v>18</v>
      </c>
      <c r="V19" s="30" t="s">
        <v>172</v>
      </c>
      <c r="W19" s="30" t="s">
        <v>245</v>
      </c>
      <c r="X19" s="30" t="s">
        <v>189</v>
      </c>
      <c r="Y19" s="30" t="s">
        <v>246</v>
      </c>
      <c r="Z19" s="30">
        <v>1</v>
      </c>
      <c r="AA19" s="30" t="s">
        <v>176</v>
      </c>
      <c r="AB19" s="30">
        <v>11</v>
      </c>
      <c r="AC19" s="30" t="s">
        <v>177</v>
      </c>
      <c r="AD19" s="30" t="s">
        <v>178</v>
      </c>
      <c r="AE19" s="30" t="s">
        <v>18</v>
      </c>
      <c r="AF19" s="30" t="s">
        <v>61</v>
      </c>
      <c r="AG19" s="30" t="s">
        <v>70</v>
      </c>
      <c r="AH19" s="30" t="s">
        <v>5</v>
      </c>
      <c r="AI19" s="30" t="s">
        <v>116</v>
      </c>
    </row>
    <row r="20" spans="1:35" x14ac:dyDescent="0.3">
      <c r="A20" s="30">
        <v>22</v>
      </c>
      <c r="B20" s="30" t="s">
        <v>161</v>
      </c>
      <c r="C20" s="30" t="s">
        <v>18</v>
      </c>
      <c r="D20" s="31">
        <v>46080</v>
      </c>
      <c r="E20" s="30">
        <v>45</v>
      </c>
      <c r="F20" s="30">
        <v>0</v>
      </c>
      <c r="G20" s="32">
        <v>117215</v>
      </c>
      <c r="H20" s="30">
        <v>148404</v>
      </c>
      <c r="I20" s="30" t="s">
        <v>247</v>
      </c>
      <c r="J20" s="30" t="s">
        <v>183</v>
      </c>
      <c r="K20" s="30" t="s">
        <v>184</v>
      </c>
      <c r="L20" s="30" t="s">
        <v>248</v>
      </c>
      <c r="M20" s="30" t="s">
        <v>249</v>
      </c>
      <c r="N20" s="30" t="s">
        <v>167</v>
      </c>
      <c r="O20" s="30">
        <v>117215</v>
      </c>
      <c r="P20" s="30">
        <v>1</v>
      </c>
      <c r="Q20" s="30" t="s">
        <v>187</v>
      </c>
      <c r="R20" s="30" t="s">
        <v>188</v>
      </c>
      <c r="S20" s="30" t="s">
        <v>170</v>
      </c>
      <c r="T20" s="30" t="s">
        <v>171</v>
      </c>
      <c r="U20" s="30" t="s">
        <v>18</v>
      </c>
      <c r="V20" s="30" t="s">
        <v>172</v>
      </c>
      <c r="W20" s="30" t="s">
        <v>245</v>
      </c>
      <c r="X20" s="30" t="s">
        <v>189</v>
      </c>
      <c r="Y20" s="30" t="s">
        <v>250</v>
      </c>
      <c r="Z20" s="30">
        <v>1</v>
      </c>
      <c r="AA20" s="30" t="s">
        <v>176</v>
      </c>
      <c r="AB20" s="30">
        <v>11</v>
      </c>
      <c r="AC20" s="30" t="s">
        <v>177</v>
      </c>
      <c r="AD20" s="30" t="s">
        <v>178</v>
      </c>
      <c r="AE20" s="30" t="s">
        <v>18</v>
      </c>
      <c r="AF20" s="30" t="s">
        <v>16</v>
      </c>
      <c r="AG20" s="30" t="s">
        <v>83</v>
      </c>
      <c r="AH20" s="30" t="s">
        <v>5</v>
      </c>
      <c r="AI20" s="30" t="s">
        <v>84</v>
      </c>
    </row>
    <row r="21" spans="1:35" x14ac:dyDescent="0.3">
      <c r="A21" s="30">
        <v>23</v>
      </c>
      <c r="B21" s="30" t="s">
        <v>161</v>
      </c>
      <c r="C21" s="30" t="s">
        <v>18</v>
      </c>
      <c r="D21" s="31">
        <v>46081</v>
      </c>
      <c r="E21" s="30">
        <v>186</v>
      </c>
      <c r="F21" s="30">
        <v>0</v>
      </c>
      <c r="G21" s="32">
        <v>835680</v>
      </c>
      <c r="H21" s="30">
        <v>984084</v>
      </c>
      <c r="I21" s="30" t="s">
        <v>251</v>
      </c>
      <c r="J21" s="30" t="s">
        <v>192</v>
      </c>
      <c r="K21" s="30" t="s">
        <v>193</v>
      </c>
      <c r="L21" s="30" t="s">
        <v>194</v>
      </c>
      <c r="M21" s="30" t="s">
        <v>195</v>
      </c>
      <c r="N21" s="30" t="s">
        <v>167</v>
      </c>
      <c r="O21" s="30">
        <v>835680</v>
      </c>
      <c r="P21" s="30">
        <v>1</v>
      </c>
      <c r="Q21" s="30" t="s">
        <v>168</v>
      </c>
      <c r="R21" s="30" t="s">
        <v>169</v>
      </c>
      <c r="S21" s="30"/>
      <c r="T21" s="30"/>
      <c r="U21" s="30"/>
      <c r="V21" s="30" t="s">
        <v>172</v>
      </c>
      <c r="W21" s="30" t="s">
        <v>173</v>
      </c>
      <c r="X21" s="30" t="s">
        <v>174</v>
      </c>
      <c r="Y21" s="30" t="s">
        <v>252</v>
      </c>
      <c r="Z21" s="30">
        <v>2</v>
      </c>
      <c r="AA21" s="30" t="s">
        <v>197</v>
      </c>
      <c r="AB21" s="30">
        <v>11</v>
      </c>
      <c r="AC21" s="30" t="s">
        <v>177</v>
      </c>
      <c r="AD21" s="30" t="s">
        <v>178</v>
      </c>
      <c r="AE21" s="30" t="s">
        <v>18</v>
      </c>
      <c r="AF21" s="30" t="s">
        <v>16</v>
      </c>
      <c r="AG21" s="30" t="s">
        <v>87</v>
      </c>
      <c r="AH21" s="30" t="s">
        <v>5</v>
      </c>
      <c r="AI21" s="30" t="s">
        <v>88</v>
      </c>
    </row>
    <row r="22" spans="1:35" x14ac:dyDescent="0.3">
      <c r="A22" s="30">
        <v>24</v>
      </c>
      <c r="B22" s="30" t="s">
        <v>161</v>
      </c>
      <c r="C22" s="30" t="s">
        <v>18</v>
      </c>
      <c r="D22" s="31">
        <v>46081</v>
      </c>
      <c r="E22" s="30">
        <v>186</v>
      </c>
      <c r="F22" s="30">
        <v>0</v>
      </c>
      <c r="G22" s="32">
        <v>175000</v>
      </c>
      <c r="H22" s="30">
        <v>1159084</v>
      </c>
      <c r="I22" s="30" t="s">
        <v>253</v>
      </c>
      <c r="J22" s="30" t="s">
        <v>199</v>
      </c>
      <c r="K22" s="30" t="s">
        <v>200</v>
      </c>
      <c r="L22" s="30" t="s">
        <v>194</v>
      </c>
      <c r="M22" s="30" t="s">
        <v>195</v>
      </c>
      <c r="N22" s="30" t="s">
        <v>167</v>
      </c>
      <c r="O22" s="30">
        <v>175000</v>
      </c>
      <c r="P22" s="30">
        <v>1</v>
      </c>
      <c r="Q22" s="30" t="s">
        <v>168</v>
      </c>
      <c r="R22" s="30" t="s">
        <v>169</v>
      </c>
      <c r="S22" s="30"/>
      <c r="T22" s="30"/>
      <c r="U22" s="30"/>
      <c r="V22" s="30" t="s">
        <v>172</v>
      </c>
      <c r="W22" s="30" t="s">
        <v>173</v>
      </c>
      <c r="X22" s="30" t="s">
        <v>174</v>
      </c>
      <c r="Y22" s="30" t="s">
        <v>252</v>
      </c>
      <c r="Z22" s="30">
        <v>5</v>
      </c>
      <c r="AA22" s="30" t="s">
        <v>197</v>
      </c>
      <c r="AB22" s="30">
        <v>11</v>
      </c>
      <c r="AC22" s="30" t="s">
        <v>177</v>
      </c>
      <c r="AD22" s="30" t="s">
        <v>178</v>
      </c>
      <c r="AE22" s="30" t="s">
        <v>18</v>
      </c>
      <c r="AF22" s="30" t="s">
        <v>16</v>
      </c>
      <c r="AG22" s="30" t="s">
        <v>78</v>
      </c>
      <c r="AH22" s="30" t="s">
        <v>5</v>
      </c>
      <c r="AI22" s="30" t="s">
        <v>79</v>
      </c>
    </row>
    <row r="23" spans="1:35" x14ac:dyDescent="0.3">
      <c r="A23" s="30">
        <v>25</v>
      </c>
      <c r="B23" s="30" t="s">
        <v>161</v>
      </c>
      <c r="C23" s="30" t="s">
        <v>18</v>
      </c>
      <c r="D23" s="31">
        <v>46081</v>
      </c>
      <c r="E23" s="30">
        <v>1014</v>
      </c>
      <c r="F23" s="30">
        <v>0</v>
      </c>
      <c r="G23" s="32">
        <v>2798183</v>
      </c>
      <c r="H23" s="30">
        <v>3957267</v>
      </c>
      <c r="I23" s="30" t="s">
        <v>254</v>
      </c>
      <c r="J23" s="30" t="s">
        <v>163</v>
      </c>
      <c r="K23" s="30" t="s">
        <v>164</v>
      </c>
      <c r="L23" s="30" t="s">
        <v>194</v>
      </c>
      <c r="M23" s="30" t="s">
        <v>195</v>
      </c>
      <c r="N23" s="30" t="s">
        <v>167</v>
      </c>
      <c r="O23" s="30">
        <v>2798183</v>
      </c>
      <c r="P23" s="30">
        <v>1</v>
      </c>
      <c r="Q23" s="30" t="s">
        <v>168</v>
      </c>
      <c r="R23" s="30" t="s">
        <v>169</v>
      </c>
      <c r="S23" s="30"/>
      <c r="T23" s="30"/>
      <c r="U23" s="30"/>
      <c r="V23" s="30" t="s">
        <v>172</v>
      </c>
      <c r="W23" s="30" t="s">
        <v>245</v>
      </c>
      <c r="X23" s="30" t="s">
        <v>189</v>
      </c>
      <c r="Y23" s="30" t="s">
        <v>255</v>
      </c>
      <c r="Z23" s="30">
        <v>1</v>
      </c>
      <c r="AA23" s="30" t="s">
        <v>197</v>
      </c>
      <c r="AB23" s="30">
        <v>11</v>
      </c>
      <c r="AC23" s="30" t="s">
        <v>177</v>
      </c>
      <c r="AD23" s="30" t="s">
        <v>178</v>
      </c>
      <c r="AE23" s="30" t="s">
        <v>18</v>
      </c>
      <c r="AF23" s="30" t="s">
        <v>16</v>
      </c>
      <c r="AG23" s="30" t="s">
        <v>92</v>
      </c>
      <c r="AH23" s="30" t="s">
        <v>5</v>
      </c>
      <c r="AI23" s="30" t="s">
        <v>93</v>
      </c>
    </row>
    <row r="24" spans="1:35" x14ac:dyDescent="0.3">
      <c r="A24" s="30">
        <v>26</v>
      </c>
      <c r="B24" s="30" t="s">
        <v>161</v>
      </c>
      <c r="C24" s="30" t="s">
        <v>18</v>
      </c>
      <c r="D24" s="31">
        <v>46081</v>
      </c>
      <c r="E24" s="30">
        <v>1014</v>
      </c>
      <c r="F24" s="30">
        <v>0</v>
      </c>
      <c r="G24" s="32">
        <v>549265</v>
      </c>
      <c r="H24" s="30">
        <v>4506532</v>
      </c>
      <c r="I24" s="30" t="s">
        <v>256</v>
      </c>
      <c r="J24" s="30" t="s">
        <v>180</v>
      </c>
      <c r="K24" s="30" t="s">
        <v>181</v>
      </c>
      <c r="L24" s="30" t="s">
        <v>194</v>
      </c>
      <c r="M24" s="30" t="s">
        <v>195</v>
      </c>
      <c r="N24" s="30" t="s">
        <v>167</v>
      </c>
      <c r="O24" s="30">
        <v>549265</v>
      </c>
      <c r="P24" s="30">
        <v>1</v>
      </c>
      <c r="Q24" s="30" t="s">
        <v>168</v>
      </c>
      <c r="R24" s="30" t="s">
        <v>169</v>
      </c>
      <c r="S24" s="30"/>
      <c r="T24" s="30"/>
      <c r="U24" s="30"/>
      <c r="V24" s="30" t="s">
        <v>172</v>
      </c>
      <c r="W24" s="30" t="s">
        <v>245</v>
      </c>
      <c r="X24" s="30" t="s">
        <v>189</v>
      </c>
      <c r="Y24" s="30" t="s">
        <v>255</v>
      </c>
      <c r="Z24" s="30">
        <v>4</v>
      </c>
      <c r="AA24" s="30" t="s">
        <v>197</v>
      </c>
      <c r="AB24" s="30">
        <v>11</v>
      </c>
      <c r="AC24" s="30" t="s">
        <v>177</v>
      </c>
      <c r="AD24" s="30" t="s">
        <v>178</v>
      </c>
      <c r="AE24" s="30" t="s">
        <v>18</v>
      </c>
      <c r="AF24" s="30" t="s">
        <v>16</v>
      </c>
      <c r="AG24" s="30" t="s">
        <v>90</v>
      </c>
      <c r="AH24" s="30" t="s">
        <v>5</v>
      </c>
      <c r="AI24" s="30" t="s">
        <v>91</v>
      </c>
    </row>
    <row r="25" spans="1:35" x14ac:dyDescent="0.3">
      <c r="A25" s="30">
        <v>27</v>
      </c>
      <c r="B25" s="30" t="s">
        <v>161</v>
      </c>
      <c r="C25" s="30" t="s">
        <v>18</v>
      </c>
      <c r="D25" s="31">
        <v>46081</v>
      </c>
      <c r="E25" s="30">
        <v>202</v>
      </c>
      <c r="F25" s="30">
        <v>0</v>
      </c>
      <c r="G25" s="32">
        <v>314225</v>
      </c>
      <c r="H25" s="30">
        <v>4820757</v>
      </c>
      <c r="I25" s="30" t="s">
        <v>257</v>
      </c>
      <c r="J25" s="30" t="s">
        <v>180</v>
      </c>
      <c r="K25" s="30" t="s">
        <v>181</v>
      </c>
      <c r="L25" s="30" t="s">
        <v>219</v>
      </c>
      <c r="M25" s="30" t="s">
        <v>220</v>
      </c>
      <c r="N25" s="30" t="s">
        <v>167</v>
      </c>
      <c r="O25" s="30">
        <v>314225</v>
      </c>
      <c r="P25" s="30">
        <v>1</v>
      </c>
      <c r="Q25" s="30" t="s">
        <v>168</v>
      </c>
      <c r="R25" s="30" t="s">
        <v>169</v>
      </c>
      <c r="S25" s="30" t="s">
        <v>170</v>
      </c>
      <c r="T25" s="30" t="s">
        <v>171</v>
      </c>
      <c r="U25" s="30" t="s">
        <v>18</v>
      </c>
      <c r="V25" s="30" t="s">
        <v>172</v>
      </c>
      <c r="W25" s="30" t="s">
        <v>245</v>
      </c>
      <c r="X25" s="30" t="s">
        <v>189</v>
      </c>
      <c r="Y25" s="30" t="s">
        <v>258</v>
      </c>
      <c r="Z25" s="30">
        <v>1</v>
      </c>
      <c r="AA25" s="30" t="s">
        <v>176</v>
      </c>
      <c r="AB25" s="30">
        <v>11</v>
      </c>
      <c r="AC25" s="30" t="s">
        <v>177</v>
      </c>
      <c r="AD25" s="30" t="s">
        <v>178</v>
      </c>
      <c r="AE25" s="30" t="s">
        <v>18</v>
      </c>
      <c r="AF25" s="30" t="s">
        <v>16</v>
      </c>
      <c r="AG25" s="30" t="s">
        <v>90</v>
      </c>
      <c r="AH25" s="30" t="s">
        <v>5</v>
      </c>
      <c r="AI25" s="30" t="s">
        <v>91</v>
      </c>
    </row>
    <row r="26" spans="1:35" x14ac:dyDescent="0.3">
      <c r="A26" s="30">
        <v>28</v>
      </c>
      <c r="B26" s="30" t="s">
        <v>161</v>
      </c>
      <c r="C26" s="30" t="s">
        <v>18</v>
      </c>
      <c r="D26" s="31">
        <v>46081</v>
      </c>
      <c r="E26" s="30">
        <v>203</v>
      </c>
      <c r="F26" s="30">
        <v>0</v>
      </c>
      <c r="G26" s="32">
        <v>17227545</v>
      </c>
      <c r="H26" s="30">
        <v>22048302</v>
      </c>
      <c r="I26" s="30" t="s">
        <v>259</v>
      </c>
      <c r="J26" s="30" t="s">
        <v>209</v>
      </c>
      <c r="K26" s="30" t="s">
        <v>210</v>
      </c>
      <c r="L26" s="30" t="s">
        <v>211</v>
      </c>
      <c r="M26" s="30" t="s">
        <v>212</v>
      </c>
      <c r="N26" s="30" t="s">
        <v>167</v>
      </c>
      <c r="O26" s="30">
        <v>17227545</v>
      </c>
      <c r="P26" s="30">
        <v>1</v>
      </c>
      <c r="Q26" s="30" t="s">
        <v>213</v>
      </c>
      <c r="R26" s="30" t="s">
        <v>214</v>
      </c>
      <c r="S26" s="30" t="s">
        <v>170</v>
      </c>
      <c r="T26" s="30" t="s">
        <v>171</v>
      </c>
      <c r="U26" s="30" t="s">
        <v>18</v>
      </c>
      <c r="V26" s="30" t="s">
        <v>172</v>
      </c>
      <c r="W26" s="30" t="s">
        <v>245</v>
      </c>
      <c r="X26" s="30" t="s">
        <v>189</v>
      </c>
      <c r="Y26" s="30" t="s">
        <v>260</v>
      </c>
      <c r="Z26" s="30">
        <v>1</v>
      </c>
      <c r="AA26" s="30" t="s">
        <v>176</v>
      </c>
      <c r="AB26" s="30">
        <v>11</v>
      </c>
      <c r="AC26" s="30" t="s">
        <v>177</v>
      </c>
      <c r="AD26" s="30" t="s">
        <v>178</v>
      </c>
      <c r="AE26" s="30" t="s">
        <v>18</v>
      </c>
      <c r="AF26" s="30" t="s">
        <v>16</v>
      </c>
      <c r="AG26" s="30" t="s">
        <v>94</v>
      </c>
      <c r="AH26" s="30" t="s">
        <v>5</v>
      </c>
      <c r="AI26" s="30" t="s">
        <v>95</v>
      </c>
    </row>
    <row r="27" spans="1:35" x14ac:dyDescent="0.3">
      <c r="A27" s="30">
        <v>29</v>
      </c>
      <c r="B27" s="30" t="s">
        <v>161</v>
      </c>
      <c r="C27" s="30" t="s">
        <v>18</v>
      </c>
      <c r="D27" s="31">
        <v>46081</v>
      </c>
      <c r="E27" s="30">
        <v>203</v>
      </c>
      <c r="F27" s="30">
        <v>0</v>
      </c>
      <c r="G27" s="32">
        <v>4734168</v>
      </c>
      <c r="H27" s="30">
        <v>26782470</v>
      </c>
      <c r="I27" s="30" t="s">
        <v>261</v>
      </c>
      <c r="J27" s="30" t="s">
        <v>209</v>
      </c>
      <c r="K27" s="30" t="s">
        <v>210</v>
      </c>
      <c r="L27" s="30" t="s">
        <v>211</v>
      </c>
      <c r="M27" s="30" t="s">
        <v>212</v>
      </c>
      <c r="N27" s="30" t="s">
        <v>167</v>
      </c>
      <c r="O27" s="30">
        <v>4734168</v>
      </c>
      <c r="P27" s="30">
        <v>1</v>
      </c>
      <c r="Q27" s="30" t="s">
        <v>216</v>
      </c>
      <c r="R27" s="30" t="s">
        <v>217</v>
      </c>
      <c r="S27" s="30" t="s">
        <v>170</v>
      </c>
      <c r="T27" s="30" t="s">
        <v>171</v>
      </c>
      <c r="U27" s="30" t="s">
        <v>18</v>
      </c>
      <c r="V27" s="30" t="s">
        <v>172</v>
      </c>
      <c r="W27" s="30" t="s">
        <v>245</v>
      </c>
      <c r="X27" s="30" t="s">
        <v>189</v>
      </c>
      <c r="Y27" s="30" t="s">
        <v>260</v>
      </c>
      <c r="Z27" s="30">
        <v>4</v>
      </c>
      <c r="AA27" s="30" t="s">
        <v>176</v>
      </c>
      <c r="AB27" s="30">
        <v>11</v>
      </c>
      <c r="AC27" s="30" t="s">
        <v>177</v>
      </c>
      <c r="AD27" s="30" t="s">
        <v>178</v>
      </c>
      <c r="AE27" s="30" t="s">
        <v>18</v>
      </c>
      <c r="AF27" s="30" t="s">
        <v>16</v>
      </c>
      <c r="AG27" s="30" t="s">
        <v>94</v>
      </c>
      <c r="AH27" s="30" t="s">
        <v>5</v>
      </c>
      <c r="AI27" s="30" t="s">
        <v>95</v>
      </c>
    </row>
    <row r="28" spans="1:35" x14ac:dyDescent="0.3">
      <c r="A28" s="30">
        <v>30</v>
      </c>
      <c r="B28" s="30" t="s">
        <v>161</v>
      </c>
      <c r="C28" s="30" t="s">
        <v>18</v>
      </c>
      <c r="D28" s="31">
        <v>46081</v>
      </c>
      <c r="E28" s="30">
        <v>1041</v>
      </c>
      <c r="F28" s="30">
        <v>0</v>
      </c>
      <c r="G28" s="32">
        <v>11241702</v>
      </c>
      <c r="H28" s="30">
        <v>38024172</v>
      </c>
      <c r="I28" s="30" t="s">
        <v>262</v>
      </c>
      <c r="J28" s="30" t="s">
        <v>163</v>
      </c>
      <c r="K28" s="30" t="s">
        <v>164</v>
      </c>
      <c r="L28" s="30" t="s">
        <v>203</v>
      </c>
      <c r="M28" s="30" t="s">
        <v>173</v>
      </c>
      <c r="N28" s="30" t="s">
        <v>167</v>
      </c>
      <c r="O28" s="30">
        <v>11241702</v>
      </c>
      <c r="P28" s="30">
        <v>1</v>
      </c>
      <c r="Q28" s="30" t="s">
        <v>168</v>
      </c>
      <c r="R28" s="30" t="s">
        <v>169</v>
      </c>
      <c r="S28" s="30"/>
      <c r="T28" s="30"/>
      <c r="U28" s="30"/>
      <c r="V28" s="30" t="s">
        <v>172</v>
      </c>
      <c r="W28" s="30" t="s">
        <v>173</v>
      </c>
      <c r="X28" s="30" t="s">
        <v>174</v>
      </c>
      <c r="Y28" s="30" t="s">
        <v>263</v>
      </c>
      <c r="Z28" s="30">
        <v>1</v>
      </c>
      <c r="AA28" s="30" t="s">
        <v>197</v>
      </c>
      <c r="AB28" s="30">
        <v>12</v>
      </c>
      <c r="AC28" s="30" t="s">
        <v>205</v>
      </c>
      <c r="AD28" s="30" t="s">
        <v>178</v>
      </c>
      <c r="AE28" s="30" t="s">
        <v>18</v>
      </c>
      <c r="AF28" s="30" t="s">
        <v>16</v>
      </c>
      <c r="AG28" s="30" t="s">
        <v>92</v>
      </c>
      <c r="AH28" s="30" t="s">
        <v>5</v>
      </c>
      <c r="AI28" s="30" t="s">
        <v>93</v>
      </c>
    </row>
    <row r="29" spans="1:35" x14ac:dyDescent="0.3">
      <c r="A29" s="30">
        <v>31</v>
      </c>
      <c r="B29" s="30" t="s">
        <v>161</v>
      </c>
      <c r="C29" s="30" t="s">
        <v>18</v>
      </c>
      <c r="D29" s="31">
        <v>46081</v>
      </c>
      <c r="E29" s="30">
        <v>1041</v>
      </c>
      <c r="F29" s="30">
        <v>0</v>
      </c>
      <c r="G29" s="32">
        <v>11241702</v>
      </c>
      <c r="H29" s="30">
        <v>49265874</v>
      </c>
      <c r="I29" s="30" t="s">
        <v>264</v>
      </c>
      <c r="J29" s="30" t="s">
        <v>163</v>
      </c>
      <c r="K29" s="30" t="s">
        <v>164</v>
      </c>
      <c r="L29" s="30" t="s">
        <v>203</v>
      </c>
      <c r="M29" s="30" t="s">
        <v>173</v>
      </c>
      <c r="N29" s="30" t="s">
        <v>167</v>
      </c>
      <c r="O29" s="30">
        <v>11241702</v>
      </c>
      <c r="P29" s="30">
        <v>1</v>
      </c>
      <c r="Q29" s="30" t="s">
        <v>168</v>
      </c>
      <c r="R29" s="30" t="s">
        <v>169</v>
      </c>
      <c r="S29" s="30"/>
      <c r="T29" s="30"/>
      <c r="U29" s="30"/>
      <c r="V29" s="30" t="s">
        <v>172</v>
      </c>
      <c r="W29" s="30" t="s">
        <v>173</v>
      </c>
      <c r="X29" s="30" t="s">
        <v>174</v>
      </c>
      <c r="Y29" s="30" t="s">
        <v>263</v>
      </c>
      <c r="Z29" s="30">
        <v>3</v>
      </c>
      <c r="AA29" s="30" t="s">
        <v>197</v>
      </c>
      <c r="AB29" s="30">
        <v>12</v>
      </c>
      <c r="AC29" s="30" t="s">
        <v>205</v>
      </c>
      <c r="AD29" s="30" t="s">
        <v>178</v>
      </c>
      <c r="AE29" s="30" t="s">
        <v>18</v>
      </c>
      <c r="AF29" s="30" t="s">
        <v>16</v>
      </c>
      <c r="AG29" s="30" t="s">
        <v>92</v>
      </c>
      <c r="AH29" s="30" t="s">
        <v>5</v>
      </c>
      <c r="AI29" s="30" t="s">
        <v>93</v>
      </c>
    </row>
    <row r="30" spans="1:35" x14ac:dyDescent="0.3">
      <c r="A30" s="30">
        <v>32</v>
      </c>
      <c r="B30" s="30" t="s">
        <v>161</v>
      </c>
      <c r="C30" s="30" t="s">
        <v>18</v>
      </c>
      <c r="D30" s="31">
        <v>46081</v>
      </c>
      <c r="E30" s="30">
        <v>1041</v>
      </c>
      <c r="F30" s="30">
        <v>0</v>
      </c>
      <c r="G30" s="32">
        <v>4822897</v>
      </c>
      <c r="H30" s="30">
        <v>54088771</v>
      </c>
      <c r="I30" s="30" t="s">
        <v>265</v>
      </c>
      <c r="J30" s="30" t="s">
        <v>180</v>
      </c>
      <c r="K30" s="30" t="s">
        <v>181</v>
      </c>
      <c r="L30" s="30" t="s">
        <v>203</v>
      </c>
      <c r="M30" s="30" t="s">
        <v>173</v>
      </c>
      <c r="N30" s="30" t="s">
        <v>167</v>
      </c>
      <c r="O30" s="30">
        <v>4822897</v>
      </c>
      <c r="P30" s="30">
        <v>1</v>
      </c>
      <c r="Q30" s="30" t="s">
        <v>168</v>
      </c>
      <c r="R30" s="30" t="s">
        <v>169</v>
      </c>
      <c r="S30" s="30"/>
      <c r="T30" s="30"/>
      <c r="U30" s="30"/>
      <c r="V30" s="30" t="s">
        <v>172</v>
      </c>
      <c r="W30" s="30" t="s">
        <v>173</v>
      </c>
      <c r="X30" s="30" t="s">
        <v>174</v>
      </c>
      <c r="Y30" s="30" t="s">
        <v>263</v>
      </c>
      <c r="Z30" s="30">
        <v>5</v>
      </c>
      <c r="AA30" s="30" t="s">
        <v>197</v>
      </c>
      <c r="AB30" s="30">
        <v>12</v>
      </c>
      <c r="AC30" s="30" t="s">
        <v>205</v>
      </c>
      <c r="AD30" s="30" t="s">
        <v>178</v>
      </c>
      <c r="AE30" s="30" t="s">
        <v>18</v>
      </c>
      <c r="AF30" s="30" t="s">
        <v>16</v>
      </c>
      <c r="AG30" s="30" t="s">
        <v>90</v>
      </c>
      <c r="AH30" s="30" t="s">
        <v>5</v>
      </c>
      <c r="AI30" s="30" t="s">
        <v>91</v>
      </c>
    </row>
    <row r="31" spans="1:35" x14ac:dyDescent="0.3">
      <c r="A31" s="30">
        <v>33</v>
      </c>
      <c r="B31" s="30" t="s">
        <v>161</v>
      </c>
      <c r="C31" s="30" t="s">
        <v>18</v>
      </c>
      <c r="D31" s="31">
        <v>46081</v>
      </c>
      <c r="E31" s="30">
        <v>1041</v>
      </c>
      <c r="F31" s="30">
        <v>0</v>
      </c>
      <c r="G31" s="32">
        <v>4822897</v>
      </c>
      <c r="H31" s="30">
        <v>58911668</v>
      </c>
      <c r="I31" s="30" t="s">
        <v>266</v>
      </c>
      <c r="J31" s="30" t="s">
        <v>180</v>
      </c>
      <c r="K31" s="30" t="s">
        <v>181</v>
      </c>
      <c r="L31" s="30" t="s">
        <v>203</v>
      </c>
      <c r="M31" s="30" t="s">
        <v>173</v>
      </c>
      <c r="N31" s="30" t="s">
        <v>167</v>
      </c>
      <c r="O31" s="30">
        <v>4822897</v>
      </c>
      <c r="P31" s="30">
        <v>1</v>
      </c>
      <c r="Q31" s="30" t="s">
        <v>168</v>
      </c>
      <c r="R31" s="30" t="s">
        <v>169</v>
      </c>
      <c r="S31" s="30"/>
      <c r="T31" s="30"/>
      <c r="U31" s="30"/>
      <c r="V31" s="30" t="s">
        <v>172</v>
      </c>
      <c r="W31" s="30" t="s">
        <v>173</v>
      </c>
      <c r="X31" s="30" t="s">
        <v>174</v>
      </c>
      <c r="Y31" s="30" t="s">
        <v>263</v>
      </c>
      <c r="Z31" s="30">
        <v>7</v>
      </c>
      <c r="AA31" s="30" t="s">
        <v>197</v>
      </c>
      <c r="AB31" s="30">
        <v>12</v>
      </c>
      <c r="AC31" s="30" t="s">
        <v>205</v>
      </c>
      <c r="AD31" s="30" t="s">
        <v>178</v>
      </c>
      <c r="AE31" s="30" t="s">
        <v>18</v>
      </c>
      <c r="AF31" s="30" t="s">
        <v>16</v>
      </c>
      <c r="AG31" s="30" t="s">
        <v>90</v>
      </c>
      <c r="AH31" s="30" t="s">
        <v>5</v>
      </c>
      <c r="AI31" s="30" t="s">
        <v>91</v>
      </c>
    </row>
    <row r="32" spans="1:35" x14ac:dyDescent="0.3">
      <c r="A32" s="30">
        <v>34</v>
      </c>
      <c r="B32" s="30" t="s">
        <v>161</v>
      </c>
      <c r="C32" s="30" t="s">
        <v>18</v>
      </c>
      <c r="D32" s="31">
        <v>46081</v>
      </c>
      <c r="E32" s="30">
        <v>1174</v>
      </c>
      <c r="F32" s="30">
        <v>0</v>
      </c>
      <c r="G32" s="32">
        <v>9618919</v>
      </c>
      <c r="H32" s="30">
        <v>68530587</v>
      </c>
      <c r="I32" s="30" t="s">
        <v>267</v>
      </c>
      <c r="J32" s="30" t="s">
        <v>268</v>
      </c>
      <c r="K32" s="30" t="s">
        <v>269</v>
      </c>
      <c r="L32" s="30" t="s">
        <v>270</v>
      </c>
      <c r="M32" s="30" t="s">
        <v>271</v>
      </c>
      <c r="N32" s="30" t="s">
        <v>167</v>
      </c>
      <c r="O32" s="30">
        <v>9618919</v>
      </c>
      <c r="P32" s="30">
        <v>1</v>
      </c>
      <c r="Q32" s="30" t="s">
        <v>272</v>
      </c>
      <c r="R32" s="30" t="s">
        <v>273</v>
      </c>
      <c r="S32" s="30"/>
      <c r="T32" s="30"/>
      <c r="U32" s="30"/>
      <c r="V32" s="30" t="s">
        <v>172</v>
      </c>
      <c r="W32" s="30" t="s">
        <v>173</v>
      </c>
      <c r="X32" s="30" t="s">
        <v>228</v>
      </c>
      <c r="Y32" s="30" t="s">
        <v>274</v>
      </c>
      <c r="Z32" s="30">
        <v>2</v>
      </c>
      <c r="AA32" s="30" t="s">
        <v>197</v>
      </c>
      <c r="AB32" s="30">
        <v>11</v>
      </c>
      <c r="AC32" s="30" t="s">
        <v>177</v>
      </c>
      <c r="AD32" s="30" t="s">
        <v>178</v>
      </c>
      <c r="AE32" s="30" t="s">
        <v>18</v>
      </c>
      <c r="AF32" s="30" t="s">
        <v>16</v>
      </c>
      <c r="AG32" s="30" t="s">
        <v>76</v>
      </c>
      <c r="AH32" s="30" t="s">
        <v>5</v>
      </c>
      <c r="AI32" s="30" t="s">
        <v>117</v>
      </c>
    </row>
    <row r="33" spans="1:35" x14ac:dyDescent="0.3">
      <c r="A33" s="30">
        <v>36</v>
      </c>
      <c r="B33" s="30" t="s">
        <v>161</v>
      </c>
      <c r="C33" s="30" t="s">
        <v>18</v>
      </c>
      <c r="D33" s="31">
        <v>46081</v>
      </c>
      <c r="E33" s="30">
        <v>185</v>
      </c>
      <c r="F33" s="30">
        <v>0</v>
      </c>
      <c r="G33" s="32">
        <v>13048244</v>
      </c>
      <c r="H33" s="30">
        <v>-29529895</v>
      </c>
      <c r="I33" s="30" t="s">
        <v>275</v>
      </c>
      <c r="J33" s="30" t="s">
        <v>163</v>
      </c>
      <c r="K33" s="30" t="s">
        <v>164</v>
      </c>
      <c r="L33" s="30" t="s">
        <v>203</v>
      </c>
      <c r="M33" s="30" t="s">
        <v>173</v>
      </c>
      <c r="N33" s="30" t="s">
        <v>167</v>
      </c>
      <c r="O33" s="30">
        <v>13048244</v>
      </c>
      <c r="P33" s="30">
        <v>1</v>
      </c>
      <c r="Q33" s="30" t="s">
        <v>168</v>
      </c>
      <c r="R33" s="30" t="s">
        <v>169</v>
      </c>
      <c r="S33" s="30"/>
      <c r="T33" s="30"/>
      <c r="U33" s="30"/>
      <c r="V33" s="30" t="s">
        <v>172</v>
      </c>
      <c r="W33" s="30" t="s">
        <v>173</v>
      </c>
      <c r="X33" s="30" t="s">
        <v>174</v>
      </c>
      <c r="Y33" s="30" t="s">
        <v>276</v>
      </c>
      <c r="Z33" s="30">
        <v>2</v>
      </c>
      <c r="AA33" s="30" t="s">
        <v>197</v>
      </c>
      <c r="AB33" s="30">
        <v>12</v>
      </c>
      <c r="AC33" s="30" t="s">
        <v>205</v>
      </c>
      <c r="AD33" s="30" t="s">
        <v>178</v>
      </c>
      <c r="AE33" s="30" t="s">
        <v>18</v>
      </c>
      <c r="AF33" s="30" t="s">
        <v>16</v>
      </c>
      <c r="AG33" s="30" t="s">
        <v>92</v>
      </c>
      <c r="AH33" s="30" t="s">
        <v>5</v>
      </c>
      <c r="AI33" s="30" t="s">
        <v>93</v>
      </c>
    </row>
    <row r="34" spans="1:35" x14ac:dyDescent="0.3">
      <c r="A34" s="30">
        <v>37</v>
      </c>
      <c r="B34" s="30" t="s">
        <v>161</v>
      </c>
      <c r="C34" s="30" t="s">
        <v>18</v>
      </c>
      <c r="D34" s="31">
        <v>46081</v>
      </c>
      <c r="E34" s="30">
        <v>185</v>
      </c>
      <c r="F34" s="30">
        <v>0</v>
      </c>
      <c r="G34" s="32">
        <v>29397672</v>
      </c>
      <c r="H34" s="30">
        <v>-132223</v>
      </c>
      <c r="I34" s="30" t="s">
        <v>277</v>
      </c>
      <c r="J34" s="30" t="s">
        <v>180</v>
      </c>
      <c r="K34" s="30" t="s">
        <v>181</v>
      </c>
      <c r="L34" s="30" t="s">
        <v>203</v>
      </c>
      <c r="M34" s="30" t="s">
        <v>173</v>
      </c>
      <c r="N34" s="30" t="s">
        <v>167</v>
      </c>
      <c r="O34" s="30">
        <v>29397672</v>
      </c>
      <c r="P34" s="30">
        <v>1</v>
      </c>
      <c r="Q34" s="30" t="s">
        <v>168</v>
      </c>
      <c r="R34" s="30" t="s">
        <v>169</v>
      </c>
      <c r="S34" s="30"/>
      <c r="T34" s="30"/>
      <c r="U34" s="30"/>
      <c r="V34" s="30" t="s">
        <v>172</v>
      </c>
      <c r="W34" s="30" t="s">
        <v>173</v>
      </c>
      <c r="X34" s="30" t="s">
        <v>174</v>
      </c>
      <c r="Y34" s="30" t="s">
        <v>276</v>
      </c>
      <c r="Z34" s="30">
        <v>4</v>
      </c>
      <c r="AA34" s="30" t="s">
        <v>197</v>
      </c>
      <c r="AB34" s="30">
        <v>12</v>
      </c>
      <c r="AC34" s="30" t="s">
        <v>205</v>
      </c>
      <c r="AD34" s="30" t="s">
        <v>178</v>
      </c>
      <c r="AE34" s="30" t="s">
        <v>18</v>
      </c>
      <c r="AF34" s="30" t="s">
        <v>16</v>
      </c>
      <c r="AG34" s="30" t="s">
        <v>90</v>
      </c>
      <c r="AH34" s="30" t="s">
        <v>5</v>
      </c>
      <c r="AI34" s="30" t="s">
        <v>91</v>
      </c>
    </row>
    <row r="35" spans="1:35" x14ac:dyDescent="0.3">
      <c r="A35" s="30">
        <v>38</v>
      </c>
      <c r="B35" s="30" t="s">
        <v>161</v>
      </c>
      <c r="C35" s="30" t="s">
        <v>18</v>
      </c>
      <c r="D35" s="31">
        <v>46081</v>
      </c>
      <c r="E35" s="30">
        <v>185</v>
      </c>
      <c r="F35" s="30">
        <v>0</v>
      </c>
      <c r="G35" s="32">
        <v>132223</v>
      </c>
      <c r="H35" s="30">
        <v>0</v>
      </c>
      <c r="I35" s="30" t="s">
        <v>278</v>
      </c>
      <c r="J35" s="30" t="s">
        <v>192</v>
      </c>
      <c r="K35" s="30" t="s">
        <v>193</v>
      </c>
      <c r="L35" s="30" t="s">
        <v>203</v>
      </c>
      <c r="M35" s="30" t="s">
        <v>173</v>
      </c>
      <c r="N35" s="30" t="s">
        <v>167</v>
      </c>
      <c r="O35" s="30">
        <v>132223</v>
      </c>
      <c r="P35" s="30">
        <v>1</v>
      </c>
      <c r="Q35" s="30" t="s">
        <v>168</v>
      </c>
      <c r="R35" s="30" t="s">
        <v>169</v>
      </c>
      <c r="S35" s="30"/>
      <c r="T35" s="30"/>
      <c r="U35" s="30"/>
      <c r="V35" s="30" t="s">
        <v>172</v>
      </c>
      <c r="W35" s="30" t="s">
        <v>173</v>
      </c>
      <c r="X35" s="30" t="s">
        <v>174</v>
      </c>
      <c r="Y35" s="30" t="s">
        <v>276</v>
      </c>
      <c r="Z35" s="30">
        <v>6</v>
      </c>
      <c r="AA35" s="30" t="s">
        <v>197</v>
      </c>
      <c r="AB35" s="30">
        <v>12</v>
      </c>
      <c r="AC35" s="30" t="s">
        <v>205</v>
      </c>
      <c r="AD35" s="30" t="s">
        <v>178</v>
      </c>
      <c r="AE35" s="30" t="s">
        <v>18</v>
      </c>
      <c r="AF35" s="30" t="s">
        <v>16</v>
      </c>
      <c r="AG35" s="30" t="s">
        <v>87</v>
      </c>
      <c r="AH35" s="30" t="s">
        <v>5</v>
      </c>
      <c r="AI35" s="30" t="s">
        <v>88</v>
      </c>
    </row>
    <row r="36" spans="1:35" x14ac:dyDescent="0.3">
      <c r="A36" s="30">
        <v>41</v>
      </c>
      <c r="B36" s="30" t="s">
        <v>161</v>
      </c>
      <c r="C36" s="30" t="s">
        <v>18</v>
      </c>
      <c r="D36" s="31">
        <v>46082</v>
      </c>
      <c r="E36" s="30">
        <v>38</v>
      </c>
      <c r="F36" s="30">
        <v>0</v>
      </c>
      <c r="G36" s="32">
        <v>-5351351</v>
      </c>
      <c r="H36" s="30">
        <v>-5351351</v>
      </c>
      <c r="I36" s="30" t="s">
        <v>279</v>
      </c>
      <c r="J36" s="30" t="s">
        <v>268</v>
      </c>
      <c r="K36" s="30" t="s">
        <v>269</v>
      </c>
      <c r="L36" s="30" t="s">
        <v>270</v>
      </c>
      <c r="M36" s="30" t="s">
        <v>271</v>
      </c>
      <c r="N36" s="30" t="s">
        <v>167</v>
      </c>
      <c r="O36" s="30">
        <v>-5351351</v>
      </c>
      <c r="P36" s="30">
        <v>1</v>
      </c>
      <c r="Q36" s="30" t="s">
        <v>272</v>
      </c>
      <c r="R36" s="30" t="s">
        <v>273</v>
      </c>
      <c r="S36" s="30"/>
      <c r="T36" s="30"/>
      <c r="U36" s="30"/>
      <c r="V36" s="30" t="s">
        <v>172</v>
      </c>
      <c r="W36" s="30" t="s">
        <v>245</v>
      </c>
      <c r="X36" s="30" t="s">
        <v>189</v>
      </c>
      <c r="Y36" s="30" t="s">
        <v>280</v>
      </c>
      <c r="Z36" s="30">
        <v>4</v>
      </c>
      <c r="AA36" s="30" t="s">
        <v>197</v>
      </c>
      <c r="AB36" s="30">
        <v>11</v>
      </c>
      <c r="AC36" s="30" t="s">
        <v>177</v>
      </c>
      <c r="AD36" s="30" t="s">
        <v>178</v>
      </c>
      <c r="AE36" s="30" t="s">
        <v>18</v>
      </c>
      <c r="AF36" s="30" t="s">
        <v>16</v>
      </c>
      <c r="AG36" s="30" t="s">
        <v>76</v>
      </c>
      <c r="AH36" s="30" t="s">
        <v>6</v>
      </c>
      <c r="AI36" s="30" t="s">
        <v>117</v>
      </c>
    </row>
    <row r="37" spans="1:35" x14ac:dyDescent="0.3">
      <c r="A37" s="30">
        <v>42</v>
      </c>
      <c r="B37" s="30" t="s">
        <v>161</v>
      </c>
      <c r="C37" s="30" t="s">
        <v>18</v>
      </c>
      <c r="D37" s="31">
        <v>46112</v>
      </c>
      <c r="E37" s="30">
        <v>205</v>
      </c>
      <c r="F37" s="30">
        <v>0</v>
      </c>
      <c r="G37" s="32">
        <v>835680</v>
      </c>
      <c r="H37" s="30">
        <v>-4515671</v>
      </c>
      <c r="I37" s="30" t="s">
        <v>281</v>
      </c>
      <c r="J37" s="30" t="s">
        <v>192</v>
      </c>
      <c r="K37" s="30" t="s">
        <v>193</v>
      </c>
      <c r="L37" s="30" t="s">
        <v>194</v>
      </c>
      <c r="M37" s="30" t="s">
        <v>195</v>
      </c>
      <c r="N37" s="30" t="s">
        <v>167</v>
      </c>
      <c r="O37" s="30">
        <v>835680</v>
      </c>
      <c r="P37" s="30">
        <v>1</v>
      </c>
      <c r="Q37" s="30" t="s">
        <v>168</v>
      </c>
      <c r="R37" s="30" t="s">
        <v>169</v>
      </c>
      <c r="S37" s="30"/>
      <c r="T37" s="30"/>
      <c r="U37" s="30"/>
      <c r="V37" s="30" t="s">
        <v>172</v>
      </c>
      <c r="W37" s="30" t="s">
        <v>282</v>
      </c>
      <c r="X37" s="30" t="s">
        <v>174</v>
      </c>
      <c r="Y37" s="30" t="s">
        <v>283</v>
      </c>
      <c r="Z37" s="30">
        <v>2</v>
      </c>
      <c r="AA37" s="30" t="s">
        <v>197</v>
      </c>
      <c r="AB37" s="30">
        <v>11</v>
      </c>
      <c r="AC37" s="30" t="s">
        <v>177</v>
      </c>
      <c r="AD37" s="30" t="s">
        <v>178</v>
      </c>
      <c r="AE37" s="30" t="s">
        <v>18</v>
      </c>
      <c r="AF37" s="30" t="s">
        <v>16</v>
      </c>
      <c r="AG37" s="30" t="s">
        <v>87</v>
      </c>
      <c r="AH37" s="30" t="s">
        <v>6</v>
      </c>
      <c r="AI37" s="30" t="s">
        <v>88</v>
      </c>
    </row>
    <row r="38" spans="1:35" x14ac:dyDescent="0.3">
      <c r="A38" s="30">
        <v>43</v>
      </c>
      <c r="B38" s="30" t="s">
        <v>161</v>
      </c>
      <c r="C38" s="30" t="s">
        <v>18</v>
      </c>
      <c r="D38" s="31">
        <v>46112</v>
      </c>
      <c r="E38" s="30">
        <v>205</v>
      </c>
      <c r="F38" s="30">
        <v>0</v>
      </c>
      <c r="G38" s="32">
        <v>175000</v>
      </c>
      <c r="H38" s="30">
        <v>-4340671</v>
      </c>
      <c r="I38" s="30" t="s">
        <v>284</v>
      </c>
      <c r="J38" s="30" t="s">
        <v>199</v>
      </c>
      <c r="K38" s="30" t="s">
        <v>200</v>
      </c>
      <c r="L38" s="30" t="s">
        <v>194</v>
      </c>
      <c r="M38" s="30" t="s">
        <v>195</v>
      </c>
      <c r="N38" s="30" t="s">
        <v>167</v>
      </c>
      <c r="O38" s="30">
        <v>175000</v>
      </c>
      <c r="P38" s="30">
        <v>1</v>
      </c>
      <c r="Q38" s="30" t="s">
        <v>168</v>
      </c>
      <c r="R38" s="30" t="s">
        <v>169</v>
      </c>
      <c r="S38" s="30"/>
      <c r="T38" s="30"/>
      <c r="U38" s="30"/>
      <c r="V38" s="30" t="s">
        <v>172</v>
      </c>
      <c r="W38" s="30" t="s">
        <v>282</v>
      </c>
      <c r="X38" s="30" t="s">
        <v>174</v>
      </c>
      <c r="Y38" s="30" t="s">
        <v>283</v>
      </c>
      <c r="Z38" s="30">
        <v>5</v>
      </c>
      <c r="AA38" s="30" t="s">
        <v>197</v>
      </c>
      <c r="AB38" s="30">
        <v>11</v>
      </c>
      <c r="AC38" s="30" t="s">
        <v>177</v>
      </c>
      <c r="AD38" s="30" t="s">
        <v>178</v>
      </c>
      <c r="AE38" s="30" t="s">
        <v>18</v>
      </c>
      <c r="AF38" s="30" t="s">
        <v>16</v>
      </c>
      <c r="AG38" s="30" t="s">
        <v>78</v>
      </c>
      <c r="AH38" s="30" t="s">
        <v>6</v>
      </c>
      <c r="AI38" s="30" t="s">
        <v>79</v>
      </c>
    </row>
    <row r="39" spans="1:35" x14ac:dyDescent="0.3">
      <c r="A39" s="30">
        <v>44</v>
      </c>
      <c r="B39" s="30" t="s">
        <v>161</v>
      </c>
      <c r="C39" s="30" t="s">
        <v>18</v>
      </c>
      <c r="D39" s="31">
        <v>46112</v>
      </c>
      <c r="E39" s="30">
        <v>209</v>
      </c>
      <c r="F39" s="30">
        <v>0</v>
      </c>
      <c r="G39" s="32">
        <v>6986725</v>
      </c>
      <c r="H39" s="30">
        <v>2646054</v>
      </c>
      <c r="I39" s="30" t="s">
        <v>285</v>
      </c>
      <c r="J39" s="30" t="s">
        <v>163</v>
      </c>
      <c r="K39" s="30" t="s">
        <v>164</v>
      </c>
      <c r="L39" s="30" t="s">
        <v>203</v>
      </c>
      <c r="M39" s="30" t="s">
        <v>173</v>
      </c>
      <c r="N39" s="30" t="s">
        <v>167</v>
      </c>
      <c r="O39" s="30">
        <v>6986725</v>
      </c>
      <c r="P39" s="30">
        <v>1</v>
      </c>
      <c r="Q39" s="30" t="s">
        <v>168</v>
      </c>
      <c r="R39" s="30" t="s">
        <v>169</v>
      </c>
      <c r="S39" s="30" t="s">
        <v>170</v>
      </c>
      <c r="T39" s="30" t="s">
        <v>171</v>
      </c>
      <c r="U39" s="30" t="s">
        <v>18</v>
      </c>
      <c r="V39" s="30" t="s">
        <v>172</v>
      </c>
      <c r="W39" s="30" t="s">
        <v>282</v>
      </c>
      <c r="X39" s="30" t="s">
        <v>174</v>
      </c>
      <c r="Y39" s="30" t="s">
        <v>286</v>
      </c>
      <c r="Z39" s="30">
        <v>1</v>
      </c>
      <c r="AA39" s="30" t="s">
        <v>197</v>
      </c>
      <c r="AB39" s="30">
        <v>11</v>
      </c>
      <c r="AC39" s="30" t="s">
        <v>177</v>
      </c>
      <c r="AD39" s="30" t="s">
        <v>178</v>
      </c>
      <c r="AE39" s="30" t="s">
        <v>18</v>
      </c>
      <c r="AF39" s="30" t="s">
        <v>16</v>
      </c>
      <c r="AG39" s="30" t="s">
        <v>92</v>
      </c>
      <c r="AH39" s="30" t="s">
        <v>6</v>
      </c>
      <c r="AI39" s="30" t="s">
        <v>93</v>
      </c>
    </row>
    <row r="40" spans="1:35" x14ac:dyDescent="0.3">
      <c r="A40" s="30">
        <v>45</v>
      </c>
      <c r="B40" s="30" t="s">
        <v>161</v>
      </c>
      <c r="C40" s="30" t="s">
        <v>18</v>
      </c>
      <c r="D40" s="31">
        <v>46112</v>
      </c>
      <c r="E40" s="30">
        <v>209</v>
      </c>
      <c r="F40" s="30">
        <v>0</v>
      </c>
      <c r="G40" s="32">
        <v>27819175</v>
      </c>
      <c r="H40" s="30">
        <v>30465229</v>
      </c>
      <c r="I40" s="30" t="s">
        <v>287</v>
      </c>
      <c r="J40" s="30" t="s">
        <v>180</v>
      </c>
      <c r="K40" s="30" t="s">
        <v>181</v>
      </c>
      <c r="L40" s="30" t="s">
        <v>203</v>
      </c>
      <c r="M40" s="30" t="s">
        <v>173</v>
      </c>
      <c r="N40" s="30" t="s">
        <v>167</v>
      </c>
      <c r="O40" s="30">
        <v>27819175</v>
      </c>
      <c r="P40" s="30">
        <v>1</v>
      </c>
      <c r="Q40" s="30" t="s">
        <v>168</v>
      </c>
      <c r="R40" s="30" t="s">
        <v>169</v>
      </c>
      <c r="S40" s="30" t="s">
        <v>170</v>
      </c>
      <c r="T40" s="30" t="s">
        <v>171</v>
      </c>
      <c r="U40" s="30" t="s">
        <v>18</v>
      </c>
      <c r="V40" s="30" t="s">
        <v>172</v>
      </c>
      <c r="W40" s="30" t="s">
        <v>282</v>
      </c>
      <c r="X40" s="30" t="s">
        <v>174</v>
      </c>
      <c r="Y40" s="30" t="s">
        <v>286</v>
      </c>
      <c r="Z40" s="30">
        <v>4</v>
      </c>
      <c r="AA40" s="30" t="s">
        <v>197</v>
      </c>
      <c r="AB40" s="30">
        <v>11</v>
      </c>
      <c r="AC40" s="30" t="s">
        <v>177</v>
      </c>
      <c r="AD40" s="30" t="s">
        <v>178</v>
      </c>
      <c r="AE40" s="30" t="s">
        <v>18</v>
      </c>
      <c r="AF40" s="30" t="s">
        <v>16</v>
      </c>
      <c r="AG40" s="30" t="s">
        <v>90</v>
      </c>
      <c r="AH40" s="30" t="s">
        <v>6</v>
      </c>
      <c r="AI40" s="30" t="s">
        <v>91</v>
      </c>
    </row>
    <row r="41" spans="1:35" x14ac:dyDescent="0.3">
      <c r="A41" s="30">
        <v>46</v>
      </c>
      <c r="B41" s="30" t="s">
        <v>161</v>
      </c>
      <c r="C41" s="30" t="s">
        <v>18</v>
      </c>
      <c r="D41" s="31">
        <v>46112</v>
      </c>
      <c r="E41" s="30">
        <v>209</v>
      </c>
      <c r="F41" s="30">
        <v>0</v>
      </c>
      <c r="G41" s="32">
        <v>39823</v>
      </c>
      <c r="H41" s="30">
        <v>30505052</v>
      </c>
      <c r="I41" s="30" t="s">
        <v>288</v>
      </c>
      <c r="J41" s="30" t="s">
        <v>192</v>
      </c>
      <c r="K41" s="30" t="s">
        <v>193</v>
      </c>
      <c r="L41" s="30" t="s">
        <v>203</v>
      </c>
      <c r="M41" s="30" t="s">
        <v>173</v>
      </c>
      <c r="N41" s="30" t="s">
        <v>167</v>
      </c>
      <c r="O41" s="30">
        <v>39823</v>
      </c>
      <c r="P41" s="30">
        <v>1</v>
      </c>
      <c r="Q41" s="30" t="s">
        <v>168</v>
      </c>
      <c r="R41" s="30" t="s">
        <v>169</v>
      </c>
      <c r="S41" s="30" t="s">
        <v>170</v>
      </c>
      <c r="T41" s="30" t="s">
        <v>171</v>
      </c>
      <c r="U41" s="30" t="s">
        <v>18</v>
      </c>
      <c r="V41" s="30" t="s">
        <v>172</v>
      </c>
      <c r="W41" s="30" t="s">
        <v>282</v>
      </c>
      <c r="X41" s="30" t="s">
        <v>174</v>
      </c>
      <c r="Y41" s="30" t="s">
        <v>286</v>
      </c>
      <c r="Z41" s="30">
        <v>7</v>
      </c>
      <c r="AA41" s="30" t="s">
        <v>197</v>
      </c>
      <c r="AB41" s="30">
        <v>11</v>
      </c>
      <c r="AC41" s="30" t="s">
        <v>177</v>
      </c>
      <c r="AD41" s="30" t="s">
        <v>178</v>
      </c>
      <c r="AE41" s="30" t="s">
        <v>18</v>
      </c>
      <c r="AF41" s="30" t="s">
        <v>16</v>
      </c>
      <c r="AG41" s="30" t="s">
        <v>87</v>
      </c>
      <c r="AH41" s="30" t="s">
        <v>6</v>
      </c>
      <c r="AI41" s="30" t="s">
        <v>88</v>
      </c>
    </row>
    <row r="42" spans="1:35" x14ac:dyDescent="0.3">
      <c r="A42" s="30">
        <v>47</v>
      </c>
      <c r="B42" s="30" t="s">
        <v>161</v>
      </c>
      <c r="C42" s="30" t="s">
        <v>18</v>
      </c>
      <c r="D42" s="31">
        <v>46112</v>
      </c>
      <c r="E42" s="30">
        <v>208</v>
      </c>
      <c r="F42" s="30">
        <v>0</v>
      </c>
      <c r="G42" s="32">
        <v>11241702</v>
      </c>
      <c r="H42" s="30">
        <v>41746754</v>
      </c>
      <c r="I42" s="30" t="s">
        <v>289</v>
      </c>
      <c r="J42" s="30" t="s">
        <v>163</v>
      </c>
      <c r="K42" s="30" t="s">
        <v>164</v>
      </c>
      <c r="L42" s="30" t="s">
        <v>203</v>
      </c>
      <c r="M42" s="30" t="s">
        <v>173</v>
      </c>
      <c r="N42" s="30" t="s">
        <v>167</v>
      </c>
      <c r="O42" s="30">
        <v>11241702</v>
      </c>
      <c r="P42" s="30">
        <v>1</v>
      </c>
      <c r="Q42" s="30" t="s">
        <v>168</v>
      </c>
      <c r="R42" s="30" t="s">
        <v>169</v>
      </c>
      <c r="S42" s="30"/>
      <c r="T42" s="30"/>
      <c r="U42" s="30"/>
      <c r="V42" s="30" t="s">
        <v>172</v>
      </c>
      <c r="W42" s="30" t="s">
        <v>282</v>
      </c>
      <c r="X42" s="30" t="s">
        <v>174</v>
      </c>
      <c r="Y42" s="30" t="s">
        <v>290</v>
      </c>
      <c r="Z42" s="30">
        <v>1</v>
      </c>
      <c r="AA42" s="30" t="s">
        <v>197</v>
      </c>
      <c r="AB42" s="30">
        <v>11</v>
      </c>
      <c r="AC42" s="30" t="s">
        <v>177</v>
      </c>
      <c r="AD42" s="30" t="s">
        <v>178</v>
      </c>
      <c r="AE42" s="30" t="s">
        <v>18</v>
      </c>
      <c r="AF42" s="30" t="s">
        <v>16</v>
      </c>
      <c r="AG42" s="30" t="s">
        <v>92</v>
      </c>
      <c r="AH42" s="30" t="s">
        <v>6</v>
      </c>
      <c r="AI42" s="30" t="s">
        <v>93</v>
      </c>
    </row>
    <row r="43" spans="1:35" x14ac:dyDescent="0.3">
      <c r="A43" s="30">
        <v>48</v>
      </c>
      <c r="B43" s="30" t="s">
        <v>161</v>
      </c>
      <c r="C43" s="30" t="s">
        <v>18</v>
      </c>
      <c r="D43" s="31">
        <v>46112</v>
      </c>
      <c r="E43" s="30">
        <v>208</v>
      </c>
      <c r="F43" s="30">
        <v>0</v>
      </c>
      <c r="G43" s="32">
        <v>4822897</v>
      </c>
      <c r="H43" s="30">
        <v>46569651</v>
      </c>
      <c r="I43" s="30" t="s">
        <v>291</v>
      </c>
      <c r="J43" s="30" t="s">
        <v>180</v>
      </c>
      <c r="K43" s="30" t="s">
        <v>181</v>
      </c>
      <c r="L43" s="30" t="s">
        <v>203</v>
      </c>
      <c r="M43" s="30" t="s">
        <v>173</v>
      </c>
      <c r="N43" s="30" t="s">
        <v>167</v>
      </c>
      <c r="O43" s="30">
        <v>4822897</v>
      </c>
      <c r="P43" s="30">
        <v>1</v>
      </c>
      <c r="Q43" s="30" t="s">
        <v>168</v>
      </c>
      <c r="R43" s="30" t="s">
        <v>169</v>
      </c>
      <c r="S43" s="30"/>
      <c r="T43" s="30"/>
      <c r="U43" s="30"/>
      <c r="V43" s="30" t="s">
        <v>172</v>
      </c>
      <c r="W43" s="30" t="s">
        <v>282</v>
      </c>
      <c r="X43" s="30" t="s">
        <v>174</v>
      </c>
      <c r="Y43" s="30" t="s">
        <v>290</v>
      </c>
      <c r="Z43" s="30">
        <v>3</v>
      </c>
      <c r="AA43" s="30" t="s">
        <v>197</v>
      </c>
      <c r="AB43" s="30">
        <v>11</v>
      </c>
      <c r="AC43" s="30" t="s">
        <v>177</v>
      </c>
      <c r="AD43" s="30" t="s">
        <v>178</v>
      </c>
      <c r="AE43" s="30" t="s">
        <v>18</v>
      </c>
      <c r="AF43" s="30" t="s">
        <v>16</v>
      </c>
      <c r="AG43" s="30" t="s">
        <v>90</v>
      </c>
      <c r="AH43" s="30" t="s">
        <v>6</v>
      </c>
      <c r="AI43" s="30" t="s">
        <v>91</v>
      </c>
    </row>
    <row r="44" spans="1:35" x14ac:dyDescent="0.3">
      <c r="A44" s="30">
        <v>49</v>
      </c>
      <c r="B44" s="30" t="s">
        <v>161</v>
      </c>
      <c r="C44" s="30" t="s">
        <v>18</v>
      </c>
      <c r="D44" s="31">
        <v>46112</v>
      </c>
      <c r="E44" s="30">
        <v>362</v>
      </c>
      <c r="F44" s="30">
        <v>0</v>
      </c>
      <c r="G44" s="32">
        <v>50000000</v>
      </c>
      <c r="H44" s="30">
        <v>96569651</v>
      </c>
      <c r="I44" s="30" t="s">
        <v>292</v>
      </c>
      <c r="J44" s="30" t="s">
        <v>268</v>
      </c>
      <c r="K44" s="30" t="s">
        <v>269</v>
      </c>
      <c r="L44" s="30" t="s">
        <v>270</v>
      </c>
      <c r="M44" s="30" t="s">
        <v>271</v>
      </c>
      <c r="N44" s="30" t="s">
        <v>167</v>
      </c>
      <c r="O44" s="30">
        <v>50000000</v>
      </c>
      <c r="P44" s="30">
        <v>1</v>
      </c>
      <c r="Q44" s="30" t="s">
        <v>272</v>
      </c>
      <c r="R44" s="30" t="s">
        <v>273</v>
      </c>
      <c r="S44" s="30" t="s">
        <v>170</v>
      </c>
      <c r="T44" s="30" t="s">
        <v>171</v>
      </c>
      <c r="U44" s="30" t="s">
        <v>18</v>
      </c>
      <c r="V44" s="30" t="s">
        <v>172</v>
      </c>
      <c r="W44" s="30" t="s">
        <v>282</v>
      </c>
      <c r="X44" s="30" t="s">
        <v>228</v>
      </c>
      <c r="Y44" s="30" t="s">
        <v>293</v>
      </c>
      <c r="Z44" s="30">
        <v>1</v>
      </c>
      <c r="AA44" s="30" t="s">
        <v>176</v>
      </c>
      <c r="AB44" s="30">
        <v>11</v>
      </c>
      <c r="AC44" s="30" t="s">
        <v>177</v>
      </c>
      <c r="AD44" s="30" t="s">
        <v>178</v>
      </c>
      <c r="AE44" s="30" t="s">
        <v>18</v>
      </c>
      <c r="AF44" s="30" t="s">
        <v>16</v>
      </c>
      <c r="AG44" s="30" t="s">
        <v>76</v>
      </c>
      <c r="AH44" s="30" t="s">
        <v>6</v>
      </c>
      <c r="AI44" s="30" t="s">
        <v>117</v>
      </c>
    </row>
    <row r="45" spans="1:35" x14ac:dyDescent="0.3">
      <c r="A45" s="30">
        <v>50</v>
      </c>
      <c r="B45" s="30" t="s">
        <v>161</v>
      </c>
      <c r="C45" s="30" t="s">
        <v>18</v>
      </c>
      <c r="D45" s="31">
        <v>46112</v>
      </c>
      <c r="E45" s="30">
        <v>363</v>
      </c>
      <c r="F45" s="30">
        <v>0</v>
      </c>
      <c r="G45" s="32">
        <v>308257</v>
      </c>
      <c r="H45" s="30">
        <v>96877908</v>
      </c>
      <c r="I45" s="30" t="s">
        <v>294</v>
      </c>
      <c r="J45" s="30" t="s">
        <v>183</v>
      </c>
      <c r="K45" s="30" t="s">
        <v>184</v>
      </c>
      <c r="L45" s="30" t="s">
        <v>248</v>
      </c>
      <c r="M45" s="30" t="s">
        <v>249</v>
      </c>
      <c r="N45" s="30" t="s">
        <v>167</v>
      </c>
      <c r="O45" s="30">
        <v>308257</v>
      </c>
      <c r="P45" s="30">
        <v>1</v>
      </c>
      <c r="Q45" s="30" t="s">
        <v>187</v>
      </c>
      <c r="R45" s="30" t="s">
        <v>188</v>
      </c>
      <c r="S45" s="30" t="s">
        <v>170</v>
      </c>
      <c r="T45" s="30" t="s">
        <v>171</v>
      </c>
      <c r="U45" s="30" t="s">
        <v>18</v>
      </c>
      <c r="V45" s="30" t="s">
        <v>172</v>
      </c>
      <c r="W45" s="30" t="s">
        <v>282</v>
      </c>
      <c r="X45" s="30" t="s">
        <v>228</v>
      </c>
      <c r="Y45" s="30" t="s">
        <v>295</v>
      </c>
      <c r="Z45" s="30">
        <v>1</v>
      </c>
      <c r="AA45" s="30" t="s">
        <v>176</v>
      </c>
      <c r="AB45" s="30">
        <v>11</v>
      </c>
      <c r="AC45" s="30" t="s">
        <v>177</v>
      </c>
      <c r="AD45" s="30" t="s">
        <v>178</v>
      </c>
      <c r="AE45" s="30" t="s">
        <v>18</v>
      </c>
      <c r="AF45" s="30" t="s">
        <v>16</v>
      </c>
      <c r="AG45" s="30" t="s">
        <v>83</v>
      </c>
      <c r="AH45" s="30" t="s">
        <v>6</v>
      </c>
      <c r="AI45" s="30" t="s">
        <v>84</v>
      </c>
    </row>
    <row r="46" spans="1:35" x14ac:dyDescent="0.3">
      <c r="A46" s="30">
        <v>51</v>
      </c>
      <c r="B46" s="30" t="s">
        <v>161</v>
      </c>
      <c r="C46" s="30" t="s">
        <v>18</v>
      </c>
      <c r="D46" s="31">
        <v>46112</v>
      </c>
      <c r="E46" s="30">
        <v>365</v>
      </c>
      <c r="F46" s="30">
        <v>0</v>
      </c>
      <c r="G46" s="32">
        <v>23348</v>
      </c>
      <c r="H46" s="30">
        <v>96901256</v>
      </c>
      <c r="I46" s="30" t="s">
        <v>296</v>
      </c>
      <c r="J46" s="30" t="s">
        <v>180</v>
      </c>
      <c r="K46" s="30" t="s">
        <v>181</v>
      </c>
      <c r="L46" s="30" t="s">
        <v>219</v>
      </c>
      <c r="M46" s="30" t="s">
        <v>220</v>
      </c>
      <c r="N46" s="30" t="s">
        <v>167</v>
      </c>
      <c r="O46" s="30">
        <v>23348</v>
      </c>
      <c r="P46" s="30">
        <v>1</v>
      </c>
      <c r="Q46" s="30" t="s">
        <v>168</v>
      </c>
      <c r="R46" s="30" t="s">
        <v>169</v>
      </c>
      <c r="S46" s="30" t="s">
        <v>170</v>
      </c>
      <c r="T46" s="30" t="s">
        <v>171</v>
      </c>
      <c r="U46" s="30" t="s">
        <v>18</v>
      </c>
      <c r="V46" s="30" t="s">
        <v>172</v>
      </c>
      <c r="W46" s="30" t="s">
        <v>282</v>
      </c>
      <c r="X46" s="30" t="s">
        <v>228</v>
      </c>
      <c r="Y46" s="30" t="s">
        <v>297</v>
      </c>
      <c r="Z46" s="30">
        <v>1</v>
      </c>
      <c r="AA46" s="30" t="s">
        <v>176</v>
      </c>
      <c r="AB46" s="30">
        <v>11</v>
      </c>
      <c r="AC46" s="30" t="s">
        <v>177</v>
      </c>
      <c r="AD46" s="30" t="s">
        <v>178</v>
      </c>
      <c r="AE46" s="30" t="s">
        <v>18</v>
      </c>
      <c r="AF46" s="30" t="s">
        <v>16</v>
      </c>
      <c r="AG46" s="30" t="s">
        <v>90</v>
      </c>
      <c r="AH46" s="30" t="s">
        <v>6</v>
      </c>
      <c r="AI46" s="30" t="s">
        <v>91</v>
      </c>
    </row>
    <row r="47" spans="1:35" x14ac:dyDescent="0.3">
      <c r="A47" s="30">
        <v>52</v>
      </c>
      <c r="B47" s="30" t="s">
        <v>161</v>
      </c>
      <c r="C47" s="30" t="s">
        <v>18</v>
      </c>
      <c r="D47" s="31">
        <v>46112</v>
      </c>
      <c r="E47" s="30">
        <v>367</v>
      </c>
      <c r="F47" s="30">
        <v>0</v>
      </c>
      <c r="G47" s="32">
        <v>28445172</v>
      </c>
      <c r="H47" s="30">
        <v>125346428</v>
      </c>
      <c r="I47" s="30" t="s">
        <v>298</v>
      </c>
      <c r="J47" s="30" t="s">
        <v>299</v>
      </c>
      <c r="K47" s="30" t="s">
        <v>300</v>
      </c>
      <c r="L47" s="30" t="s">
        <v>211</v>
      </c>
      <c r="M47" s="30" t="s">
        <v>212</v>
      </c>
      <c r="N47" s="30" t="s">
        <v>167</v>
      </c>
      <c r="O47" s="30">
        <v>28445172</v>
      </c>
      <c r="P47" s="30">
        <v>1</v>
      </c>
      <c r="Q47" s="30" t="s">
        <v>301</v>
      </c>
      <c r="R47" s="30" t="s">
        <v>302</v>
      </c>
      <c r="S47" s="30" t="s">
        <v>170</v>
      </c>
      <c r="T47" s="30" t="s">
        <v>171</v>
      </c>
      <c r="U47" s="30" t="s">
        <v>18</v>
      </c>
      <c r="V47" s="30" t="s">
        <v>172</v>
      </c>
      <c r="W47" s="30" t="s">
        <v>282</v>
      </c>
      <c r="X47" s="30" t="s">
        <v>228</v>
      </c>
      <c r="Y47" s="30" t="s">
        <v>303</v>
      </c>
      <c r="Z47" s="30">
        <v>1</v>
      </c>
      <c r="AA47" s="30" t="s">
        <v>176</v>
      </c>
      <c r="AB47" s="30">
        <v>11</v>
      </c>
      <c r="AC47" s="30" t="s">
        <v>177</v>
      </c>
      <c r="AD47" s="30" t="s">
        <v>178</v>
      </c>
      <c r="AE47" s="30" t="s">
        <v>18</v>
      </c>
      <c r="AF47" s="30" t="s">
        <v>61</v>
      </c>
      <c r="AG47" s="30" t="s">
        <v>67</v>
      </c>
      <c r="AH47" s="30" t="s">
        <v>6</v>
      </c>
      <c r="AI47" s="30" t="s">
        <v>120</v>
      </c>
    </row>
    <row r="48" spans="1:35" x14ac:dyDescent="0.3">
      <c r="A48" s="30">
        <v>53</v>
      </c>
      <c r="B48" s="30" t="s">
        <v>161</v>
      </c>
      <c r="C48" s="30" t="s">
        <v>18</v>
      </c>
      <c r="D48" s="31">
        <v>46112</v>
      </c>
      <c r="E48" s="30">
        <v>369</v>
      </c>
      <c r="F48" s="30">
        <v>0</v>
      </c>
      <c r="G48" s="32">
        <v>16914524</v>
      </c>
      <c r="H48" s="30">
        <v>142260952</v>
      </c>
      <c r="I48" s="30" t="s">
        <v>304</v>
      </c>
      <c r="J48" s="30" t="s">
        <v>209</v>
      </c>
      <c r="K48" s="30" t="s">
        <v>210</v>
      </c>
      <c r="L48" s="30" t="s">
        <v>211</v>
      </c>
      <c r="M48" s="30" t="s">
        <v>212</v>
      </c>
      <c r="N48" s="30" t="s">
        <v>167</v>
      </c>
      <c r="O48" s="30">
        <v>16914524</v>
      </c>
      <c r="P48" s="30">
        <v>1</v>
      </c>
      <c r="Q48" s="30" t="s">
        <v>213</v>
      </c>
      <c r="R48" s="30" t="s">
        <v>214</v>
      </c>
      <c r="S48" s="30" t="s">
        <v>170</v>
      </c>
      <c r="T48" s="30" t="s">
        <v>171</v>
      </c>
      <c r="U48" s="30" t="s">
        <v>18</v>
      </c>
      <c r="V48" s="30" t="s">
        <v>172</v>
      </c>
      <c r="W48" s="30" t="s">
        <v>282</v>
      </c>
      <c r="X48" s="30" t="s">
        <v>228</v>
      </c>
      <c r="Y48" s="30" t="s">
        <v>305</v>
      </c>
      <c r="Z48" s="30">
        <v>1</v>
      </c>
      <c r="AA48" s="30" t="s">
        <v>176</v>
      </c>
      <c r="AB48" s="30">
        <v>11</v>
      </c>
      <c r="AC48" s="30" t="s">
        <v>177</v>
      </c>
      <c r="AD48" s="30" t="s">
        <v>178</v>
      </c>
      <c r="AE48" s="30" t="s">
        <v>18</v>
      </c>
      <c r="AF48" s="30" t="s">
        <v>16</v>
      </c>
      <c r="AG48" s="30" t="s">
        <v>94</v>
      </c>
      <c r="AH48" s="30" t="s">
        <v>6</v>
      </c>
      <c r="AI48" s="30" t="s">
        <v>95</v>
      </c>
    </row>
    <row r="49" spans="1:35" x14ac:dyDescent="0.3">
      <c r="A49" s="30">
        <v>54</v>
      </c>
      <c r="B49" s="30" t="s">
        <v>161</v>
      </c>
      <c r="C49" s="30" t="s">
        <v>18</v>
      </c>
      <c r="D49" s="31">
        <v>46112</v>
      </c>
      <c r="E49" s="30">
        <v>369</v>
      </c>
      <c r="F49" s="30">
        <v>0</v>
      </c>
      <c r="G49" s="32">
        <v>2606428</v>
      </c>
      <c r="H49" s="30">
        <v>144867380</v>
      </c>
      <c r="I49" s="30" t="s">
        <v>306</v>
      </c>
      <c r="J49" s="30" t="s">
        <v>209</v>
      </c>
      <c r="K49" s="30" t="s">
        <v>210</v>
      </c>
      <c r="L49" s="30" t="s">
        <v>211</v>
      </c>
      <c r="M49" s="30" t="s">
        <v>212</v>
      </c>
      <c r="N49" s="30" t="s">
        <v>167</v>
      </c>
      <c r="O49" s="30">
        <v>2606428</v>
      </c>
      <c r="P49" s="30">
        <v>1</v>
      </c>
      <c r="Q49" s="30" t="s">
        <v>216</v>
      </c>
      <c r="R49" s="30" t="s">
        <v>217</v>
      </c>
      <c r="S49" s="30" t="s">
        <v>170</v>
      </c>
      <c r="T49" s="30" t="s">
        <v>171</v>
      </c>
      <c r="U49" s="30" t="s">
        <v>18</v>
      </c>
      <c r="V49" s="30" t="s">
        <v>172</v>
      </c>
      <c r="W49" s="30" t="s">
        <v>282</v>
      </c>
      <c r="X49" s="30" t="s">
        <v>228</v>
      </c>
      <c r="Y49" s="30" t="s">
        <v>305</v>
      </c>
      <c r="Z49" s="30">
        <v>4</v>
      </c>
      <c r="AA49" s="30" t="s">
        <v>176</v>
      </c>
      <c r="AB49" s="30">
        <v>11</v>
      </c>
      <c r="AC49" s="30" t="s">
        <v>177</v>
      </c>
      <c r="AD49" s="30" t="s">
        <v>178</v>
      </c>
      <c r="AE49" s="30" t="s">
        <v>18</v>
      </c>
      <c r="AF49" s="30" t="s">
        <v>16</v>
      </c>
      <c r="AG49" s="30" t="s">
        <v>94</v>
      </c>
      <c r="AH49" s="30" t="s">
        <v>6</v>
      </c>
      <c r="AI49" s="30" t="s">
        <v>95</v>
      </c>
    </row>
    <row r="50" spans="1:35" x14ac:dyDescent="0.3">
      <c r="A50" s="30">
        <v>55</v>
      </c>
      <c r="B50" s="30" t="s">
        <v>161</v>
      </c>
      <c r="C50" s="30" t="s">
        <v>18</v>
      </c>
      <c r="D50" s="31">
        <v>46112</v>
      </c>
      <c r="E50" s="30">
        <v>370</v>
      </c>
      <c r="F50" s="30">
        <v>0</v>
      </c>
      <c r="G50" s="32">
        <v>5606930</v>
      </c>
      <c r="H50" s="30">
        <v>150474310</v>
      </c>
      <c r="I50" s="30" t="s">
        <v>307</v>
      </c>
      <c r="J50" s="30" t="s">
        <v>163</v>
      </c>
      <c r="K50" s="30" t="s">
        <v>164</v>
      </c>
      <c r="L50" s="30" t="s">
        <v>211</v>
      </c>
      <c r="M50" s="30" t="s">
        <v>212</v>
      </c>
      <c r="N50" s="30" t="s">
        <v>167</v>
      </c>
      <c r="O50" s="30">
        <v>5606930</v>
      </c>
      <c r="P50" s="30">
        <v>1</v>
      </c>
      <c r="Q50" s="30" t="s">
        <v>308</v>
      </c>
      <c r="R50" s="30" t="s">
        <v>309</v>
      </c>
      <c r="S50" s="30" t="s">
        <v>170</v>
      </c>
      <c r="T50" s="30" t="s">
        <v>171</v>
      </c>
      <c r="U50" s="30" t="s">
        <v>18</v>
      </c>
      <c r="V50" s="30" t="s">
        <v>172</v>
      </c>
      <c r="W50" s="30" t="s">
        <v>282</v>
      </c>
      <c r="X50" s="30" t="s">
        <v>228</v>
      </c>
      <c r="Y50" s="30" t="s">
        <v>310</v>
      </c>
      <c r="Z50" s="30">
        <v>1</v>
      </c>
      <c r="AA50" s="30" t="s">
        <v>176</v>
      </c>
      <c r="AB50" s="30">
        <v>11</v>
      </c>
      <c r="AC50" s="30" t="s">
        <v>177</v>
      </c>
      <c r="AD50" s="30" t="s">
        <v>178</v>
      </c>
      <c r="AE50" s="30" t="s">
        <v>18</v>
      </c>
      <c r="AF50" s="30" t="s">
        <v>16</v>
      </c>
      <c r="AG50" s="30" t="s">
        <v>92</v>
      </c>
      <c r="AH50" s="30" t="s">
        <v>6</v>
      </c>
      <c r="AI50" s="30" t="s">
        <v>93</v>
      </c>
    </row>
    <row r="51" spans="1:35" x14ac:dyDescent="0.3">
      <c r="A51" s="30">
        <v>56</v>
      </c>
      <c r="B51" s="30" t="s">
        <v>161</v>
      </c>
      <c r="C51" s="30" t="s">
        <v>18</v>
      </c>
      <c r="D51" s="31">
        <v>46112</v>
      </c>
      <c r="E51" s="30">
        <v>1356</v>
      </c>
      <c r="F51" s="30">
        <v>0</v>
      </c>
      <c r="G51" s="32">
        <v>2241402</v>
      </c>
      <c r="H51" s="30">
        <v>152715712</v>
      </c>
      <c r="I51" s="30" t="s">
        <v>311</v>
      </c>
      <c r="J51" s="30" t="s">
        <v>163</v>
      </c>
      <c r="K51" s="30" t="s">
        <v>164</v>
      </c>
      <c r="L51" s="30" t="s">
        <v>194</v>
      </c>
      <c r="M51" s="30" t="s">
        <v>195</v>
      </c>
      <c r="N51" s="30" t="s">
        <v>167</v>
      </c>
      <c r="O51" s="30">
        <v>2241402</v>
      </c>
      <c r="P51" s="30">
        <v>1</v>
      </c>
      <c r="Q51" s="30" t="s">
        <v>168</v>
      </c>
      <c r="R51" s="30" t="s">
        <v>169</v>
      </c>
      <c r="S51" s="30"/>
      <c r="T51" s="30"/>
      <c r="U51" s="30"/>
      <c r="V51" s="30" t="s">
        <v>172</v>
      </c>
      <c r="W51" s="30" t="s">
        <v>282</v>
      </c>
      <c r="X51" s="30" t="s">
        <v>228</v>
      </c>
      <c r="Y51" s="30" t="s">
        <v>312</v>
      </c>
      <c r="Z51" s="30">
        <v>1</v>
      </c>
      <c r="AA51" s="30" t="s">
        <v>197</v>
      </c>
      <c r="AB51" s="30">
        <v>11</v>
      </c>
      <c r="AC51" s="30" t="s">
        <v>177</v>
      </c>
      <c r="AD51" s="30" t="s">
        <v>178</v>
      </c>
      <c r="AE51" s="30" t="s">
        <v>18</v>
      </c>
      <c r="AF51" s="30" t="s">
        <v>16</v>
      </c>
      <c r="AG51" s="30" t="s">
        <v>92</v>
      </c>
      <c r="AH51" s="30" t="s">
        <v>6</v>
      </c>
      <c r="AI51" s="30" t="s">
        <v>93</v>
      </c>
    </row>
    <row r="52" spans="1:35" x14ac:dyDescent="0.3">
      <c r="A52" s="30">
        <v>57</v>
      </c>
      <c r="B52" s="30" t="s">
        <v>161</v>
      </c>
      <c r="C52" s="30" t="s">
        <v>18</v>
      </c>
      <c r="D52" s="31">
        <v>46112</v>
      </c>
      <c r="E52" s="30">
        <v>1356</v>
      </c>
      <c r="F52" s="30">
        <v>0</v>
      </c>
      <c r="G52" s="32">
        <v>918925</v>
      </c>
      <c r="H52" s="30">
        <v>153634637</v>
      </c>
      <c r="I52" s="30" t="s">
        <v>313</v>
      </c>
      <c r="J52" s="30" t="s">
        <v>163</v>
      </c>
      <c r="K52" s="30" t="s">
        <v>164</v>
      </c>
      <c r="L52" s="30" t="s">
        <v>194</v>
      </c>
      <c r="M52" s="30" t="s">
        <v>195</v>
      </c>
      <c r="N52" s="30" t="s">
        <v>167</v>
      </c>
      <c r="O52" s="30">
        <v>918925</v>
      </c>
      <c r="P52" s="30">
        <v>1</v>
      </c>
      <c r="Q52" s="30" t="s">
        <v>168</v>
      </c>
      <c r="R52" s="30" t="s">
        <v>169</v>
      </c>
      <c r="S52" s="30"/>
      <c r="T52" s="30"/>
      <c r="U52" s="30"/>
      <c r="V52" s="30" t="s">
        <v>172</v>
      </c>
      <c r="W52" s="30" t="s">
        <v>282</v>
      </c>
      <c r="X52" s="30" t="s">
        <v>228</v>
      </c>
      <c r="Y52" s="30" t="s">
        <v>312</v>
      </c>
      <c r="Z52" s="30">
        <v>4</v>
      </c>
      <c r="AA52" s="30" t="s">
        <v>197</v>
      </c>
      <c r="AB52" s="30">
        <v>11</v>
      </c>
      <c r="AC52" s="30" t="s">
        <v>177</v>
      </c>
      <c r="AD52" s="30" t="s">
        <v>178</v>
      </c>
      <c r="AE52" s="30" t="s">
        <v>18</v>
      </c>
      <c r="AF52" s="30" t="s">
        <v>16</v>
      </c>
      <c r="AG52" s="30" t="s">
        <v>92</v>
      </c>
      <c r="AH52" s="30" t="s">
        <v>6</v>
      </c>
      <c r="AI52" s="30" t="s">
        <v>93</v>
      </c>
    </row>
    <row r="53" spans="1:35" x14ac:dyDescent="0.3">
      <c r="A53" s="30">
        <v>58</v>
      </c>
      <c r="B53" s="30" t="s">
        <v>161</v>
      </c>
      <c r="C53" s="30" t="s">
        <v>18</v>
      </c>
      <c r="D53" s="31">
        <v>46112</v>
      </c>
      <c r="E53" s="30">
        <v>1360</v>
      </c>
      <c r="F53" s="30">
        <v>0</v>
      </c>
      <c r="G53" s="32">
        <v>-5273300</v>
      </c>
      <c r="H53" s="30">
        <v>148361337</v>
      </c>
      <c r="I53" s="30" t="s">
        <v>314</v>
      </c>
      <c r="J53" s="30" t="s">
        <v>315</v>
      </c>
      <c r="K53" s="30" t="s">
        <v>122</v>
      </c>
      <c r="L53" s="30" t="s">
        <v>316</v>
      </c>
      <c r="M53" s="30" t="s">
        <v>317</v>
      </c>
      <c r="N53" s="30" t="s">
        <v>167</v>
      </c>
      <c r="O53" s="30">
        <v>-5273300</v>
      </c>
      <c r="P53" s="30">
        <v>1</v>
      </c>
      <c r="Q53" s="30" t="s">
        <v>168</v>
      </c>
      <c r="R53" s="30" t="s">
        <v>169</v>
      </c>
      <c r="S53" s="30"/>
      <c r="T53" s="30"/>
      <c r="U53" s="30"/>
      <c r="V53" s="30" t="s">
        <v>172</v>
      </c>
      <c r="W53" s="30" t="s">
        <v>282</v>
      </c>
      <c r="X53" s="30" t="s">
        <v>318</v>
      </c>
      <c r="Y53" s="30" t="s">
        <v>319</v>
      </c>
      <c r="Z53" s="30">
        <v>1</v>
      </c>
      <c r="AA53" s="30" t="s">
        <v>197</v>
      </c>
      <c r="AB53" s="30">
        <v>11</v>
      </c>
      <c r="AC53" s="30" t="s">
        <v>177</v>
      </c>
      <c r="AD53" s="30" t="s">
        <v>178</v>
      </c>
      <c r="AE53" s="30" t="s">
        <v>18</v>
      </c>
      <c r="AF53" s="30" t="s">
        <v>16</v>
      </c>
      <c r="AG53" s="30" t="s">
        <v>122</v>
      </c>
      <c r="AH53" s="30" t="s">
        <v>6</v>
      </c>
      <c r="AI53" s="30" t="s">
        <v>123</v>
      </c>
    </row>
    <row r="54" spans="1:35" x14ac:dyDescent="0.3">
      <c r="A54" s="30">
        <v>59</v>
      </c>
      <c r="B54" s="30" t="s">
        <v>161</v>
      </c>
      <c r="C54" s="30" t="s">
        <v>18</v>
      </c>
      <c r="D54" s="31">
        <v>46112</v>
      </c>
      <c r="E54" s="30">
        <v>1361</v>
      </c>
      <c r="F54" s="30">
        <v>0</v>
      </c>
      <c r="G54" s="32">
        <v>5273300</v>
      </c>
      <c r="H54" s="30">
        <v>153634637</v>
      </c>
      <c r="I54" s="30" t="s">
        <v>320</v>
      </c>
      <c r="J54" s="30" t="s">
        <v>315</v>
      </c>
      <c r="K54" s="30" t="s">
        <v>122</v>
      </c>
      <c r="L54" s="30" t="s">
        <v>316</v>
      </c>
      <c r="M54" s="30" t="s">
        <v>317</v>
      </c>
      <c r="N54" s="30" t="s">
        <v>167</v>
      </c>
      <c r="O54" s="30">
        <v>5273300</v>
      </c>
      <c r="P54" s="30">
        <v>1</v>
      </c>
      <c r="Q54" s="30" t="s">
        <v>168</v>
      </c>
      <c r="R54" s="30" t="s">
        <v>169</v>
      </c>
      <c r="S54" s="30" t="s">
        <v>321</v>
      </c>
      <c r="T54" s="30" t="s">
        <v>171</v>
      </c>
      <c r="U54" s="30" t="s">
        <v>18</v>
      </c>
      <c r="V54" s="30" t="s">
        <v>172</v>
      </c>
      <c r="W54" s="30" t="s">
        <v>282</v>
      </c>
      <c r="X54" s="30" t="s">
        <v>318</v>
      </c>
      <c r="Y54" s="30" t="s">
        <v>322</v>
      </c>
      <c r="Z54" s="30">
        <v>1</v>
      </c>
      <c r="AA54" s="30" t="s">
        <v>176</v>
      </c>
      <c r="AB54" s="30">
        <v>11</v>
      </c>
      <c r="AC54" s="30" t="s">
        <v>177</v>
      </c>
      <c r="AD54" s="30" t="s">
        <v>178</v>
      </c>
      <c r="AE54" s="30" t="s">
        <v>18</v>
      </c>
      <c r="AF54" s="30" t="s">
        <v>16</v>
      </c>
      <c r="AG54" s="30" t="s">
        <v>122</v>
      </c>
      <c r="AH54" s="30" t="s">
        <v>6</v>
      </c>
      <c r="AI54" s="30" t="s">
        <v>123</v>
      </c>
    </row>
    <row r="55" spans="1:35" x14ac:dyDescent="0.3">
      <c r="A55" s="30">
        <v>60</v>
      </c>
      <c r="B55" s="30" t="s">
        <v>161</v>
      </c>
      <c r="C55" s="30" t="s">
        <v>18</v>
      </c>
      <c r="D55" s="31">
        <v>46112</v>
      </c>
      <c r="E55" s="30">
        <v>1414</v>
      </c>
      <c r="F55" s="30">
        <v>0</v>
      </c>
      <c r="G55" s="32">
        <v>38159602</v>
      </c>
      <c r="H55" s="30">
        <v>191794239</v>
      </c>
      <c r="I55" s="30" t="s">
        <v>323</v>
      </c>
      <c r="J55" s="30" t="s">
        <v>231</v>
      </c>
      <c r="K55" s="30" t="s">
        <v>232</v>
      </c>
      <c r="L55" s="30" t="s">
        <v>194</v>
      </c>
      <c r="M55" s="30" t="s">
        <v>195</v>
      </c>
      <c r="N55" s="30" t="s">
        <v>167</v>
      </c>
      <c r="O55" s="30">
        <v>38159602</v>
      </c>
      <c r="P55" s="30">
        <v>1</v>
      </c>
      <c r="Q55" s="30" t="s">
        <v>168</v>
      </c>
      <c r="R55" s="30" t="s">
        <v>169</v>
      </c>
      <c r="S55" s="30"/>
      <c r="T55" s="30"/>
      <c r="U55" s="30"/>
      <c r="V55" s="30" t="s">
        <v>172</v>
      </c>
      <c r="W55" s="30" t="s">
        <v>282</v>
      </c>
      <c r="X55" s="30" t="s">
        <v>228</v>
      </c>
      <c r="Y55" s="30" t="s">
        <v>324</v>
      </c>
      <c r="Z55" s="30">
        <v>1</v>
      </c>
      <c r="AA55" s="30" t="s">
        <v>197</v>
      </c>
      <c r="AB55" s="30">
        <v>11</v>
      </c>
      <c r="AC55" s="30" t="s">
        <v>177</v>
      </c>
      <c r="AD55" s="30" t="s">
        <v>178</v>
      </c>
      <c r="AE55" s="30" t="s">
        <v>18</v>
      </c>
      <c r="AF55" s="30" t="s">
        <v>61</v>
      </c>
      <c r="AG55" s="30" t="s">
        <v>65</v>
      </c>
      <c r="AH55" s="30" t="s">
        <v>6</v>
      </c>
      <c r="AI55" s="30"/>
    </row>
    <row r="56" spans="1:35" x14ac:dyDescent="0.3">
      <c r="A56" s="30">
        <v>61</v>
      </c>
      <c r="B56" s="30" t="s">
        <v>161</v>
      </c>
      <c r="C56" s="30" t="s">
        <v>18</v>
      </c>
      <c r="D56" s="31">
        <v>46112</v>
      </c>
      <c r="E56" s="30">
        <v>1414</v>
      </c>
      <c r="F56" s="30">
        <v>0</v>
      </c>
      <c r="G56" s="32">
        <v>56637702</v>
      </c>
      <c r="H56" s="30">
        <v>248431941</v>
      </c>
      <c r="I56" s="30" t="s">
        <v>325</v>
      </c>
      <c r="J56" s="30" t="s">
        <v>326</v>
      </c>
      <c r="K56" s="30" t="s">
        <v>327</v>
      </c>
      <c r="L56" s="30" t="s">
        <v>194</v>
      </c>
      <c r="M56" s="30" t="s">
        <v>195</v>
      </c>
      <c r="N56" s="30" t="s">
        <v>167</v>
      </c>
      <c r="O56" s="30">
        <v>56637702</v>
      </c>
      <c r="P56" s="30">
        <v>1</v>
      </c>
      <c r="Q56" s="30" t="s">
        <v>168</v>
      </c>
      <c r="R56" s="30" t="s">
        <v>169</v>
      </c>
      <c r="S56" s="30"/>
      <c r="T56" s="30"/>
      <c r="U56" s="30"/>
      <c r="V56" s="30" t="s">
        <v>172</v>
      </c>
      <c r="W56" s="30" t="s">
        <v>282</v>
      </c>
      <c r="X56" s="30" t="s">
        <v>228</v>
      </c>
      <c r="Y56" s="30" t="s">
        <v>324</v>
      </c>
      <c r="Z56" s="30">
        <v>2</v>
      </c>
      <c r="AA56" s="30" t="s">
        <v>197</v>
      </c>
      <c r="AB56" s="30">
        <v>11</v>
      </c>
      <c r="AC56" s="30" t="s">
        <v>177</v>
      </c>
      <c r="AD56" s="30" t="s">
        <v>178</v>
      </c>
      <c r="AE56" s="30" t="s">
        <v>18</v>
      </c>
      <c r="AF56" s="30" t="s">
        <v>61</v>
      </c>
      <c r="AG56" s="30" t="s">
        <v>66</v>
      </c>
      <c r="AH56" s="30" t="s">
        <v>6</v>
      </c>
      <c r="AI56" s="30"/>
    </row>
    <row r="57" spans="1:35" x14ac:dyDescent="0.3">
      <c r="A57" s="30">
        <v>62</v>
      </c>
      <c r="B57" s="30" t="s">
        <v>161</v>
      </c>
      <c r="C57" s="30" t="s">
        <v>18</v>
      </c>
      <c r="D57" s="31">
        <v>46112</v>
      </c>
      <c r="E57" s="30">
        <v>1414</v>
      </c>
      <c r="F57" s="30">
        <v>0</v>
      </c>
      <c r="G57" s="32">
        <v>65888200</v>
      </c>
      <c r="H57" s="30">
        <v>314320141</v>
      </c>
      <c r="I57" s="30" t="s">
        <v>328</v>
      </c>
      <c r="J57" s="30" t="s">
        <v>235</v>
      </c>
      <c r="K57" s="30" t="s">
        <v>236</v>
      </c>
      <c r="L57" s="30" t="s">
        <v>194</v>
      </c>
      <c r="M57" s="30" t="s">
        <v>195</v>
      </c>
      <c r="N57" s="30" t="s">
        <v>167</v>
      </c>
      <c r="O57" s="30">
        <v>65888200</v>
      </c>
      <c r="P57" s="30">
        <v>1</v>
      </c>
      <c r="Q57" s="30" t="s">
        <v>168</v>
      </c>
      <c r="R57" s="30" t="s">
        <v>169</v>
      </c>
      <c r="S57" s="30"/>
      <c r="T57" s="30"/>
      <c r="U57" s="30"/>
      <c r="V57" s="30" t="s">
        <v>172</v>
      </c>
      <c r="W57" s="30" t="s">
        <v>282</v>
      </c>
      <c r="X57" s="30" t="s">
        <v>228</v>
      </c>
      <c r="Y57" s="30" t="s">
        <v>324</v>
      </c>
      <c r="Z57" s="30">
        <v>3</v>
      </c>
      <c r="AA57" s="30" t="s">
        <v>197</v>
      </c>
      <c r="AB57" s="30">
        <v>11</v>
      </c>
      <c r="AC57" s="30" t="s">
        <v>177</v>
      </c>
      <c r="AD57" s="30" t="s">
        <v>178</v>
      </c>
      <c r="AE57" s="30" t="s">
        <v>18</v>
      </c>
      <c r="AF57" s="30" t="s">
        <v>16</v>
      </c>
      <c r="AG57" s="30" t="s">
        <v>77</v>
      </c>
      <c r="AH57" s="30" t="s">
        <v>6</v>
      </c>
      <c r="AI57" s="30"/>
    </row>
    <row r="58" spans="1:35" x14ac:dyDescent="0.3">
      <c r="A58" s="30">
        <v>63</v>
      </c>
      <c r="B58" s="30" t="s">
        <v>161</v>
      </c>
      <c r="C58" s="30" t="s">
        <v>18</v>
      </c>
      <c r="D58" s="31">
        <v>46112</v>
      </c>
      <c r="E58" s="30">
        <v>1414</v>
      </c>
      <c r="F58" s="30">
        <v>0</v>
      </c>
      <c r="G58" s="32">
        <v>65377785</v>
      </c>
      <c r="H58" s="30">
        <v>379697926</v>
      </c>
      <c r="I58" s="30" t="s">
        <v>329</v>
      </c>
      <c r="J58" s="30" t="s">
        <v>235</v>
      </c>
      <c r="K58" s="30" t="s">
        <v>236</v>
      </c>
      <c r="L58" s="30" t="s">
        <v>194</v>
      </c>
      <c r="M58" s="30" t="s">
        <v>195</v>
      </c>
      <c r="N58" s="30" t="s">
        <v>167</v>
      </c>
      <c r="O58" s="30">
        <v>65377785</v>
      </c>
      <c r="P58" s="30">
        <v>1</v>
      </c>
      <c r="Q58" s="30" t="s">
        <v>168</v>
      </c>
      <c r="R58" s="30" t="s">
        <v>169</v>
      </c>
      <c r="S58" s="30"/>
      <c r="T58" s="30"/>
      <c r="U58" s="30"/>
      <c r="V58" s="30" t="s">
        <v>172</v>
      </c>
      <c r="W58" s="30" t="s">
        <v>282</v>
      </c>
      <c r="X58" s="30" t="s">
        <v>228</v>
      </c>
      <c r="Y58" s="30" t="s">
        <v>324</v>
      </c>
      <c r="Z58" s="30">
        <v>4</v>
      </c>
      <c r="AA58" s="30" t="s">
        <v>197</v>
      </c>
      <c r="AB58" s="30">
        <v>11</v>
      </c>
      <c r="AC58" s="30" t="s">
        <v>177</v>
      </c>
      <c r="AD58" s="30" t="s">
        <v>178</v>
      </c>
      <c r="AE58" s="30" t="s">
        <v>18</v>
      </c>
      <c r="AF58" s="30" t="s">
        <v>16</v>
      </c>
      <c r="AG58" s="30" t="s">
        <v>77</v>
      </c>
      <c r="AH58" s="30" t="s">
        <v>6</v>
      </c>
      <c r="AI58" s="30"/>
    </row>
    <row r="59" spans="1:35" x14ac:dyDescent="0.3">
      <c r="A59" s="30">
        <v>64</v>
      </c>
      <c r="B59" s="30" t="s">
        <v>161</v>
      </c>
      <c r="C59" s="30" t="s">
        <v>18</v>
      </c>
      <c r="D59" s="31">
        <v>46112</v>
      </c>
      <c r="E59" s="30">
        <v>1414</v>
      </c>
      <c r="F59" s="30">
        <v>0</v>
      </c>
      <c r="G59" s="32">
        <v>11340931</v>
      </c>
      <c r="H59" s="30">
        <v>391038857</v>
      </c>
      <c r="I59" s="30" t="s">
        <v>330</v>
      </c>
      <c r="J59" s="30" t="s">
        <v>238</v>
      </c>
      <c r="K59" s="30" t="s">
        <v>239</v>
      </c>
      <c r="L59" s="30" t="s">
        <v>194</v>
      </c>
      <c r="M59" s="30" t="s">
        <v>195</v>
      </c>
      <c r="N59" s="30" t="s">
        <v>167</v>
      </c>
      <c r="O59" s="30">
        <v>11340931</v>
      </c>
      <c r="P59" s="30">
        <v>1</v>
      </c>
      <c r="Q59" s="30" t="s">
        <v>168</v>
      </c>
      <c r="R59" s="30" t="s">
        <v>169</v>
      </c>
      <c r="S59" s="30"/>
      <c r="T59" s="30"/>
      <c r="U59" s="30"/>
      <c r="V59" s="30" t="s">
        <v>172</v>
      </c>
      <c r="W59" s="30" t="s">
        <v>282</v>
      </c>
      <c r="X59" s="30" t="s">
        <v>228</v>
      </c>
      <c r="Y59" s="30" t="s">
        <v>324</v>
      </c>
      <c r="Z59" s="30">
        <v>5</v>
      </c>
      <c r="AA59" s="30" t="s">
        <v>197</v>
      </c>
      <c r="AB59" s="30">
        <v>11</v>
      </c>
      <c r="AC59" s="30" t="s">
        <v>177</v>
      </c>
      <c r="AD59" s="30" t="s">
        <v>178</v>
      </c>
      <c r="AE59" s="30" t="s">
        <v>18</v>
      </c>
      <c r="AF59" s="30" t="s">
        <v>61</v>
      </c>
      <c r="AG59" s="30" t="s">
        <v>68</v>
      </c>
      <c r="AH59" s="30" t="s">
        <v>6</v>
      </c>
      <c r="AI59" s="30"/>
    </row>
    <row r="60" spans="1:35" x14ac:dyDescent="0.3">
      <c r="A60" s="30">
        <v>65</v>
      </c>
      <c r="B60" s="30" t="s">
        <v>161</v>
      </c>
      <c r="C60" s="30" t="s">
        <v>18</v>
      </c>
      <c r="D60" s="31">
        <v>46112</v>
      </c>
      <c r="E60" s="30">
        <v>1414</v>
      </c>
      <c r="F60" s="30">
        <v>0</v>
      </c>
      <c r="G60" s="32">
        <v>1631962</v>
      </c>
      <c r="H60" s="30">
        <v>392670819</v>
      </c>
      <c r="I60" s="30" t="s">
        <v>331</v>
      </c>
      <c r="J60" s="30" t="s">
        <v>332</v>
      </c>
      <c r="K60" s="30" t="s">
        <v>333</v>
      </c>
      <c r="L60" s="30" t="s">
        <v>194</v>
      </c>
      <c r="M60" s="30" t="s">
        <v>195</v>
      </c>
      <c r="N60" s="30" t="s">
        <v>167</v>
      </c>
      <c r="O60" s="30">
        <v>1631962</v>
      </c>
      <c r="P60" s="30">
        <v>1</v>
      </c>
      <c r="Q60" s="30" t="s">
        <v>168</v>
      </c>
      <c r="R60" s="30" t="s">
        <v>169</v>
      </c>
      <c r="S60" s="30"/>
      <c r="T60" s="30"/>
      <c r="U60" s="30"/>
      <c r="V60" s="30" t="s">
        <v>172</v>
      </c>
      <c r="W60" s="30" t="s">
        <v>282</v>
      </c>
      <c r="X60" s="30" t="s">
        <v>228</v>
      </c>
      <c r="Y60" s="30" t="s">
        <v>324</v>
      </c>
      <c r="Z60" s="30">
        <v>6</v>
      </c>
      <c r="AA60" s="30" t="s">
        <v>197</v>
      </c>
      <c r="AB60" s="30">
        <v>11</v>
      </c>
      <c r="AC60" s="30" t="s">
        <v>177</v>
      </c>
      <c r="AD60" s="30" t="s">
        <v>178</v>
      </c>
      <c r="AE60" s="30" t="s">
        <v>18</v>
      </c>
      <c r="AF60" s="30" t="s">
        <v>61</v>
      </c>
      <c r="AG60" s="30" t="s">
        <v>69</v>
      </c>
      <c r="AH60" s="30" t="s">
        <v>6</v>
      </c>
      <c r="AI60" s="30" t="s">
        <v>121</v>
      </c>
    </row>
    <row r="61" spans="1:35" x14ac:dyDescent="0.3">
      <c r="A61" s="30">
        <v>69</v>
      </c>
      <c r="B61" s="30" t="s">
        <v>161</v>
      </c>
      <c r="C61" s="30" t="s">
        <v>18</v>
      </c>
      <c r="D61" s="31">
        <v>46113</v>
      </c>
      <c r="E61" s="30">
        <v>54</v>
      </c>
      <c r="F61" s="30">
        <v>0</v>
      </c>
      <c r="G61" s="32">
        <v>-918925</v>
      </c>
      <c r="H61" s="30">
        <v>-918925</v>
      </c>
      <c r="I61" s="30" t="s">
        <v>334</v>
      </c>
      <c r="J61" s="30" t="s">
        <v>163</v>
      </c>
      <c r="K61" s="30" t="s">
        <v>164</v>
      </c>
      <c r="L61" s="30" t="s">
        <v>194</v>
      </c>
      <c r="M61" s="30" t="s">
        <v>195</v>
      </c>
      <c r="N61" s="30" t="s">
        <v>167</v>
      </c>
      <c r="O61" s="30">
        <v>-918925</v>
      </c>
      <c r="P61" s="30">
        <v>1</v>
      </c>
      <c r="Q61" s="30" t="s">
        <v>168</v>
      </c>
      <c r="R61" s="30" t="s">
        <v>169</v>
      </c>
      <c r="S61" s="30"/>
      <c r="T61" s="30"/>
      <c r="U61" s="30"/>
      <c r="V61" s="30" t="s">
        <v>172</v>
      </c>
      <c r="W61" s="30" t="s">
        <v>282</v>
      </c>
      <c r="X61" s="30" t="s">
        <v>174</v>
      </c>
      <c r="Y61" s="30" t="s">
        <v>335</v>
      </c>
      <c r="Z61" s="30">
        <v>1</v>
      </c>
      <c r="AA61" s="30" t="s">
        <v>197</v>
      </c>
      <c r="AB61" s="30">
        <v>11</v>
      </c>
      <c r="AC61" s="30" t="s">
        <v>177</v>
      </c>
      <c r="AD61" s="30" t="s">
        <v>178</v>
      </c>
      <c r="AE61" s="30" t="s">
        <v>18</v>
      </c>
      <c r="AF61" s="30" t="s">
        <v>16</v>
      </c>
      <c r="AG61" s="30" t="s">
        <v>92</v>
      </c>
      <c r="AH61" s="30" t="s">
        <v>7</v>
      </c>
      <c r="AI61" s="30" t="s">
        <v>93</v>
      </c>
    </row>
    <row r="62" spans="1:35" x14ac:dyDescent="0.3">
      <c r="A62" s="30">
        <v>70</v>
      </c>
      <c r="B62" s="30" t="s">
        <v>161</v>
      </c>
      <c r="C62" s="30" t="s">
        <v>18</v>
      </c>
      <c r="D62" s="31">
        <v>46113</v>
      </c>
      <c r="E62" s="30">
        <v>54</v>
      </c>
      <c r="F62" s="30">
        <v>0</v>
      </c>
      <c r="G62" s="32">
        <v>918925</v>
      </c>
      <c r="H62" s="30">
        <v>0</v>
      </c>
      <c r="I62" s="30" t="s">
        <v>334</v>
      </c>
      <c r="J62" s="30" t="s">
        <v>180</v>
      </c>
      <c r="K62" s="30" t="s">
        <v>181</v>
      </c>
      <c r="L62" s="30" t="s">
        <v>194</v>
      </c>
      <c r="M62" s="30" t="s">
        <v>195</v>
      </c>
      <c r="N62" s="30" t="s">
        <v>167</v>
      </c>
      <c r="O62" s="30">
        <v>918925</v>
      </c>
      <c r="P62" s="30">
        <v>1</v>
      </c>
      <c r="Q62" s="30" t="s">
        <v>168</v>
      </c>
      <c r="R62" s="30" t="s">
        <v>169</v>
      </c>
      <c r="S62" s="30"/>
      <c r="T62" s="30"/>
      <c r="U62" s="30"/>
      <c r="V62" s="30" t="s">
        <v>172</v>
      </c>
      <c r="W62" s="30" t="s">
        <v>282</v>
      </c>
      <c r="X62" s="30" t="s">
        <v>174</v>
      </c>
      <c r="Y62" s="30" t="s">
        <v>335</v>
      </c>
      <c r="Z62" s="30">
        <v>2</v>
      </c>
      <c r="AA62" s="30" t="s">
        <v>197</v>
      </c>
      <c r="AB62" s="30">
        <v>11</v>
      </c>
      <c r="AC62" s="30" t="s">
        <v>177</v>
      </c>
      <c r="AD62" s="30" t="s">
        <v>178</v>
      </c>
      <c r="AE62" s="30" t="s">
        <v>18</v>
      </c>
      <c r="AF62" s="30" t="s">
        <v>16</v>
      </c>
      <c r="AG62" s="30" t="s">
        <v>90</v>
      </c>
      <c r="AH62" s="30" t="s">
        <v>7</v>
      </c>
      <c r="AI62" s="30" t="s">
        <v>91</v>
      </c>
    </row>
    <row r="63" spans="1:35" x14ac:dyDescent="0.3">
      <c r="A63" s="30">
        <v>71</v>
      </c>
      <c r="B63" s="30" t="s">
        <v>161</v>
      </c>
      <c r="C63" s="30" t="s">
        <v>18</v>
      </c>
      <c r="D63" s="31">
        <v>46113</v>
      </c>
      <c r="E63" s="30">
        <v>73</v>
      </c>
      <c r="F63" s="30">
        <v>0</v>
      </c>
      <c r="G63" s="32">
        <v>-11241702</v>
      </c>
      <c r="H63" s="30">
        <v>-11241702</v>
      </c>
      <c r="I63" s="30" t="s">
        <v>262</v>
      </c>
      <c r="J63" s="30" t="s">
        <v>163</v>
      </c>
      <c r="K63" s="30" t="s">
        <v>164</v>
      </c>
      <c r="L63" s="30" t="s">
        <v>203</v>
      </c>
      <c r="M63" s="30" t="s">
        <v>173</v>
      </c>
      <c r="N63" s="30" t="s">
        <v>167</v>
      </c>
      <c r="O63" s="30">
        <v>-11241702</v>
      </c>
      <c r="P63" s="30">
        <v>1</v>
      </c>
      <c r="Q63" s="30" t="s">
        <v>168</v>
      </c>
      <c r="R63" s="30" t="s">
        <v>169</v>
      </c>
      <c r="S63" s="30"/>
      <c r="T63" s="30"/>
      <c r="U63" s="30"/>
      <c r="V63" s="30" t="s">
        <v>172</v>
      </c>
      <c r="W63" s="30" t="s">
        <v>282</v>
      </c>
      <c r="X63" s="30" t="s">
        <v>174</v>
      </c>
      <c r="Y63" s="30" t="s">
        <v>336</v>
      </c>
      <c r="Z63" s="30">
        <v>1</v>
      </c>
      <c r="AA63" s="30" t="s">
        <v>337</v>
      </c>
      <c r="AB63" s="30">
        <v>13</v>
      </c>
      <c r="AC63" s="30" t="s">
        <v>338</v>
      </c>
      <c r="AD63" s="30" t="s">
        <v>178</v>
      </c>
      <c r="AE63" s="30" t="s">
        <v>18</v>
      </c>
      <c r="AF63" s="30" t="s">
        <v>16</v>
      </c>
      <c r="AG63" s="30" t="s">
        <v>92</v>
      </c>
      <c r="AH63" s="30" t="s">
        <v>7</v>
      </c>
      <c r="AI63" s="30" t="s">
        <v>93</v>
      </c>
    </row>
    <row r="64" spans="1:35" x14ac:dyDescent="0.3">
      <c r="A64" s="30">
        <v>72</v>
      </c>
      <c r="B64" s="30" t="s">
        <v>161</v>
      </c>
      <c r="C64" s="30" t="s">
        <v>18</v>
      </c>
      <c r="D64" s="31">
        <v>46113</v>
      </c>
      <c r="E64" s="30">
        <v>73</v>
      </c>
      <c r="F64" s="30">
        <v>0</v>
      </c>
      <c r="G64" s="32">
        <v>-11241702</v>
      </c>
      <c r="H64" s="30">
        <v>-22483404</v>
      </c>
      <c r="I64" s="30" t="s">
        <v>264</v>
      </c>
      <c r="J64" s="30" t="s">
        <v>163</v>
      </c>
      <c r="K64" s="30" t="s">
        <v>164</v>
      </c>
      <c r="L64" s="30" t="s">
        <v>203</v>
      </c>
      <c r="M64" s="30" t="s">
        <v>173</v>
      </c>
      <c r="N64" s="30" t="s">
        <v>167</v>
      </c>
      <c r="O64" s="30">
        <v>-11241702</v>
      </c>
      <c r="P64" s="30">
        <v>1</v>
      </c>
      <c r="Q64" s="30" t="s">
        <v>168</v>
      </c>
      <c r="R64" s="30" t="s">
        <v>169</v>
      </c>
      <c r="S64" s="30"/>
      <c r="T64" s="30"/>
      <c r="U64" s="30"/>
      <c r="V64" s="30" t="s">
        <v>172</v>
      </c>
      <c r="W64" s="30" t="s">
        <v>282</v>
      </c>
      <c r="X64" s="30" t="s">
        <v>174</v>
      </c>
      <c r="Y64" s="30" t="s">
        <v>336</v>
      </c>
      <c r="Z64" s="30">
        <v>3</v>
      </c>
      <c r="AA64" s="30" t="s">
        <v>337</v>
      </c>
      <c r="AB64" s="30">
        <v>13</v>
      </c>
      <c r="AC64" s="30" t="s">
        <v>338</v>
      </c>
      <c r="AD64" s="30" t="s">
        <v>178</v>
      </c>
      <c r="AE64" s="30" t="s">
        <v>18</v>
      </c>
      <c r="AF64" s="30" t="s">
        <v>16</v>
      </c>
      <c r="AG64" s="30" t="s">
        <v>92</v>
      </c>
      <c r="AH64" s="30" t="s">
        <v>7</v>
      </c>
      <c r="AI64" s="30" t="s">
        <v>93</v>
      </c>
    </row>
    <row r="65" spans="1:35" x14ac:dyDescent="0.3">
      <c r="A65" s="30">
        <v>73</v>
      </c>
      <c r="B65" s="30" t="s">
        <v>161</v>
      </c>
      <c r="C65" s="30" t="s">
        <v>18</v>
      </c>
      <c r="D65" s="31">
        <v>46113</v>
      </c>
      <c r="E65" s="30">
        <v>73</v>
      </c>
      <c r="F65" s="30">
        <v>0</v>
      </c>
      <c r="G65" s="32">
        <v>-4822897</v>
      </c>
      <c r="H65" s="30">
        <v>-27306301</v>
      </c>
      <c r="I65" s="30" t="s">
        <v>265</v>
      </c>
      <c r="J65" s="30" t="s">
        <v>180</v>
      </c>
      <c r="K65" s="30" t="s">
        <v>181</v>
      </c>
      <c r="L65" s="30" t="s">
        <v>203</v>
      </c>
      <c r="M65" s="30" t="s">
        <v>173</v>
      </c>
      <c r="N65" s="30" t="s">
        <v>167</v>
      </c>
      <c r="O65" s="30">
        <v>-4822897</v>
      </c>
      <c r="P65" s="30">
        <v>1</v>
      </c>
      <c r="Q65" s="30" t="s">
        <v>168</v>
      </c>
      <c r="R65" s="30" t="s">
        <v>169</v>
      </c>
      <c r="S65" s="30"/>
      <c r="T65" s="30"/>
      <c r="U65" s="30"/>
      <c r="V65" s="30" t="s">
        <v>172</v>
      </c>
      <c r="W65" s="30" t="s">
        <v>282</v>
      </c>
      <c r="X65" s="30" t="s">
        <v>174</v>
      </c>
      <c r="Y65" s="30" t="s">
        <v>336</v>
      </c>
      <c r="Z65" s="30">
        <v>5</v>
      </c>
      <c r="AA65" s="30" t="s">
        <v>337</v>
      </c>
      <c r="AB65" s="30">
        <v>13</v>
      </c>
      <c r="AC65" s="30" t="s">
        <v>338</v>
      </c>
      <c r="AD65" s="30" t="s">
        <v>178</v>
      </c>
      <c r="AE65" s="30" t="s">
        <v>18</v>
      </c>
      <c r="AF65" s="30" t="s">
        <v>16</v>
      </c>
      <c r="AG65" s="30" t="s">
        <v>90</v>
      </c>
      <c r="AH65" s="30" t="s">
        <v>7</v>
      </c>
      <c r="AI65" s="30" t="s">
        <v>91</v>
      </c>
    </row>
    <row r="66" spans="1:35" x14ac:dyDescent="0.3">
      <c r="A66" s="30">
        <v>74</v>
      </c>
      <c r="B66" s="30" t="s">
        <v>161</v>
      </c>
      <c r="C66" s="30" t="s">
        <v>18</v>
      </c>
      <c r="D66" s="31">
        <v>46113</v>
      </c>
      <c r="E66" s="30">
        <v>73</v>
      </c>
      <c r="F66" s="30">
        <v>0</v>
      </c>
      <c r="G66" s="32">
        <v>-4822897</v>
      </c>
      <c r="H66" s="30">
        <v>-32129198</v>
      </c>
      <c r="I66" s="30" t="s">
        <v>266</v>
      </c>
      <c r="J66" s="30" t="s">
        <v>180</v>
      </c>
      <c r="K66" s="30" t="s">
        <v>181</v>
      </c>
      <c r="L66" s="30" t="s">
        <v>203</v>
      </c>
      <c r="M66" s="30" t="s">
        <v>173</v>
      </c>
      <c r="N66" s="30" t="s">
        <v>167</v>
      </c>
      <c r="O66" s="30">
        <v>-4822897</v>
      </c>
      <c r="P66" s="30">
        <v>1</v>
      </c>
      <c r="Q66" s="30" t="s">
        <v>168</v>
      </c>
      <c r="R66" s="30" t="s">
        <v>169</v>
      </c>
      <c r="S66" s="30"/>
      <c r="T66" s="30"/>
      <c r="U66" s="30"/>
      <c r="V66" s="30" t="s">
        <v>172</v>
      </c>
      <c r="W66" s="30" t="s">
        <v>282</v>
      </c>
      <c r="X66" s="30" t="s">
        <v>174</v>
      </c>
      <c r="Y66" s="30" t="s">
        <v>336</v>
      </c>
      <c r="Z66" s="30">
        <v>7</v>
      </c>
      <c r="AA66" s="30" t="s">
        <v>337</v>
      </c>
      <c r="AB66" s="30">
        <v>13</v>
      </c>
      <c r="AC66" s="30" t="s">
        <v>338</v>
      </c>
      <c r="AD66" s="30" t="s">
        <v>178</v>
      </c>
      <c r="AE66" s="30" t="s">
        <v>18</v>
      </c>
      <c r="AF66" s="30" t="s">
        <v>16</v>
      </c>
      <c r="AG66" s="30" t="s">
        <v>90</v>
      </c>
      <c r="AH66" s="30" t="s">
        <v>7</v>
      </c>
      <c r="AI66" s="30" t="s">
        <v>91</v>
      </c>
    </row>
    <row r="67" spans="1:35" x14ac:dyDescent="0.3">
      <c r="A67" s="30">
        <v>75</v>
      </c>
      <c r="B67" s="30" t="s">
        <v>161</v>
      </c>
      <c r="C67" s="30" t="s">
        <v>18</v>
      </c>
      <c r="D67" s="31">
        <v>46113</v>
      </c>
      <c r="E67" s="30">
        <v>69</v>
      </c>
      <c r="F67" s="30">
        <v>0</v>
      </c>
      <c r="G67" s="32">
        <v>-11241702</v>
      </c>
      <c r="H67" s="30">
        <v>-43370900</v>
      </c>
      <c r="I67" s="30" t="s">
        <v>339</v>
      </c>
      <c r="J67" s="30" t="s">
        <v>163</v>
      </c>
      <c r="K67" s="30" t="s">
        <v>164</v>
      </c>
      <c r="L67" s="30" t="s">
        <v>203</v>
      </c>
      <c r="M67" s="30" t="s">
        <v>173</v>
      </c>
      <c r="N67" s="30" t="s">
        <v>167</v>
      </c>
      <c r="O67" s="30">
        <v>-11241702</v>
      </c>
      <c r="P67" s="30">
        <v>1</v>
      </c>
      <c r="Q67" s="30" t="s">
        <v>168</v>
      </c>
      <c r="R67" s="30" t="s">
        <v>169</v>
      </c>
      <c r="S67" s="30"/>
      <c r="T67" s="30"/>
      <c r="U67" s="30"/>
      <c r="V67" s="30" t="s">
        <v>172</v>
      </c>
      <c r="W67" s="30" t="s">
        <v>282</v>
      </c>
      <c r="X67" s="30" t="s">
        <v>174</v>
      </c>
      <c r="Y67" s="30" t="s">
        <v>340</v>
      </c>
      <c r="Z67" s="30">
        <v>1</v>
      </c>
      <c r="AA67" s="30" t="s">
        <v>197</v>
      </c>
      <c r="AB67" s="30">
        <v>11</v>
      </c>
      <c r="AC67" s="30" t="s">
        <v>177</v>
      </c>
      <c r="AD67" s="30" t="s">
        <v>178</v>
      </c>
      <c r="AE67" s="30" t="s">
        <v>18</v>
      </c>
      <c r="AF67" s="30" t="s">
        <v>16</v>
      </c>
      <c r="AG67" s="30" t="s">
        <v>92</v>
      </c>
      <c r="AH67" s="30" t="s">
        <v>7</v>
      </c>
      <c r="AI67" s="30" t="s">
        <v>93</v>
      </c>
    </row>
    <row r="68" spans="1:35" x14ac:dyDescent="0.3">
      <c r="A68" s="30">
        <v>76</v>
      </c>
      <c r="B68" s="30" t="s">
        <v>161</v>
      </c>
      <c r="C68" s="30" t="s">
        <v>18</v>
      </c>
      <c r="D68" s="31">
        <v>46113</v>
      </c>
      <c r="E68" s="30">
        <v>69</v>
      </c>
      <c r="F68" s="30">
        <v>0</v>
      </c>
      <c r="G68" s="32">
        <v>-4822897</v>
      </c>
      <c r="H68" s="30">
        <v>-48193797</v>
      </c>
      <c r="I68" s="30" t="s">
        <v>341</v>
      </c>
      <c r="J68" s="30" t="s">
        <v>180</v>
      </c>
      <c r="K68" s="30" t="s">
        <v>181</v>
      </c>
      <c r="L68" s="30" t="s">
        <v>203</v>
      </c>
      <c r="M68" s="30" t="s">
        <v>173</v>
      </c>
      <c r="N68" s="30" t="s">
        <v>167</v>
      </c>
      <c r="O68" s="30">
        <v>-4822897</v>
      </c>
      <c r="P68" s="30">
        <v>1</v>
      </c>
      <c r="Q68" s="30" t="s">
        <v>168</v>
      </c>
      <c r="R68" s="30" t="s">
        <v>169</v>
      </c>
      <c r="S68" s="30"/>
      <c r="T68" s="30"/>
      <c r="U68" s="30"/>
      <c r="V68" s="30" t="s">
        <v>172</v>
      </c>
      <c r="W68" s="30" t="s">
        <v>282</v>
      </c>
      <c r="X68" s="30" t="s">
        <v>174</v>
      </c>
      <c r="Y68" s="30" t="s">
        <v>340</v>
      </c>
      <c r="Z68" s="30">
        <v>3</v>
      </c>
      <c r="AA68" s="30" t="s">
        <v>197</v>
      </c>
      <c r="AB68" s="30">
        <v>11</v>
      </c>
      <c r="AC68" s="30" t="s">
        <v>177</v>
      </c>
      <c r="AD68" s="30" t="s">
        <v>178</v>
      </c>
      <c r="AE68" s="30" t="s">
        <v>18</v>
      </c>
      <c r="AF68" s="30" t="s">
        <v>16</v>
      </c>
      <c r="AG68" s="30" t="s">
        <v>90</v>
      </c>
      <c r="AH68" s="30" t="s">
        <v>7</v>
      </c>
      <c r="AI68" s="30" t="s">
        <v>91</v>
      </c>
    </row>
    <row r="69" spans="1:35" x14ac:dyDescent="0.3">
      <c r="A69" s="30">
        <v>77</v>
      </c>
      <c r="B69" s="30" t="s">
        <v>161</v>
      </c>
      <c r="C69" s="30" t="s">
        <v>18</v>
      </c>
      <c r="D69" s="31">
        <v>46113</v>
      </c>
      <c r="E69" s="30">
        <v>80</v>
      </c>
      <c r="F69" s="30">
        <v>0</v>
      </c>
      <c r="G69" s="32">
        <v>36246072</v>
      </c>
      <c r="H69" s="30">
        <v>-11947725</v>
      </c>
      <c r="I69" s="30" t="s">
        <v>342</v>
      </c>
      <c r="J69" s="30" t="s">
        <v>268</v>
      </c>
      <c r="K69" s="30" t="s">
        <v>269</v>
      </c>
      <c r="L69" s="30" t="s">
        <v>270</v>
      </c>
      <c r="M69" s="30" t="s">
        <v>271</v>
      </c>
      <c r="N69" s="30" t="s">
        <v>167</v>
      </c>
      <c r="O69" s="30">
        <v>36246072</v>
      </c>
      <c r="P69" s="30">
        <v>1</v>
      </c>
      <c r="Q69" s="30" t="s">
        <v>272</v>
      </c>
      <c r="R69" s="30" t="s">
        <v>273</v>
      </c>
      <c r="S69" s="30" t="s">
        <v>170</v>
      </c>
      <c r="T69" s="30" t="s">
        <v>171</v>
      </c>
      <c r="U69" s="30" t="s">
        <v>18</v>
      </c>
      <c r="V69" s="30" t="s">
        <v>172</v>
      </c>
      <c r="W69" s="30" t="s">
        <v>282</v>
      </c>
      <c r="X69" s="30" t="s">
        <v>228</v>
      </c>
      <c r="Y69" s="30" t="s">
        <v>343</v>
      </c>
      <c r="Z69" s="30">
        <v>1</v>
      </c>
      <c r="AA69" s="30" t="s">
        <v>176</v>
      </c>
      <c r="AB69" s="30">
        <v>11</v>
      </c>
      <c r="AC69" s="30" t="s">
        <v>177</v>
      </c>
      <c r="AD69" s="30" t="s">
        <v>178</v>
      </c>
      <c r="AE69" s="30" t="s">
        <v>18</v>
      </c>
      <c r="AF69" s="30" t="s">
        <v>16</v>
      </c>
      <c r="AG69" s="30" t="s">
        <v>76</v>
      </c>
      <c r="AH69" s="30" t="s">
        <v>7</v>
      </c>
      <c r="AI69" s="30" t="s">
        <v>117</v>
      </c>
    </row>
    <row r="70" spans="1:35" x14ac:dyDescent="0.3">
      <c r="A70" s="30">
        <v>78</v>
      </c>
      <c r="B70" s="30" t="s">
        <v>161</v>
      </c>
      <c r="C70" s="30" t="s">
        <v>18</v>
      </c>
      <c r="D70" s="31">
        <v>46113</v>
      </c>
      <c r="E70" s="30">
        <v>82</v>
      </c>
      <c r="F70" s="30">
        <v>0</v>
      </c>
      <c r="G70" s="32">
        <v>270330</v>
      </c>
      <c r="H70" s="30">
        <v>-11677395</v>
      </c>
      <c r="I70" s="30" t="s">
        <v>344</v>
      </c>
      <c r="J70" s="30" t="s">
        <v>299</v>
      </c>
      <c r="K70" s="30" t="s">
        <v>300</v>
      </c>
      <c r="L70" s="30" t="s">
        <v>211</v>
      </c>
      <c r="M70" s="30" t="s">
        <v>212</v>
      </c>
      <c r="N70" s="30" t="s">
        <v>167</v>
      </c>
      <c r="O70" s="30">
        <v>270330</v>
      </c>
      <c r="P70" s="30">
        <v>1</v>
      </c>
      <c r="Q70" s="30" t="s">
        <v>301</v>
      </c>
      <c r="R70" s="30" t="s">
        <v>302</v>
      </c>
      <c r="S70" s="30" t="s">
        <v>170</v>
      </c>
      <c r="T70" s="30" t="s">
        <v>171</v>
      </c>
      <c r="U70" s="30" t="s">
        <v>18</v>
      </c>
      <c r="V70" s="30" t="s">
        <v>172</v>
      </c>
      <c r="W70" s="30" t="s">
        <v>282</v>
      </c>
      <c r="X70" s="30" t="s">
        <v>228</v>
      </c>
      <c r="Y70" s="30" t="s">
        <v>345</v>
      </c>
      <c r="Z70" s="30">
        <v>1</v>
      </c>
      <c r="AA70" s="30" t="s">
        <v>176</v>
      </c>
      <c r="AB70" s="30">
        <v>11</v>
      </c>
      <c r="AC70" s="30" t="s">
        <v>177</v>
      </c>
      <c r="AD70" s="30" t="s">
        <v>178</v>
      </c>
      <c r="AE70" s="30" t="s">
        <v>18</v>
      </c>
      <c r="AF70" s="30" t="s">
        <v>61</v>
      </c>
      <c r="AG70" s="30" t="s">
        <v>67</v>
      </c>
      <c r="AH70" s="30" t="s">
        <v>7</v>
      </c>
      <c r="AI70" s="30" t="s">
        <v>120</v>
      </c>
    </row>
    <row r="71" spans="1:35" x14ac:dyDescent="0.3">
      <c r="A71" s="30">
        <v>79</v>
      </c>
      <c r="B71" s="30" t="s">
        <v>161</v>
      </c>
      <c r="C71" s="30" t="s">
        <v>18</v>
      </c>
      <c r="D71" s="31">
        <v>46136</v>
      </c>
      <c r="E71" s="30">
        <v>10</v>
      </c>
      <c r="F71" s="30">
        <v>0</v>
      </c>
      <c r="G71" s="32">
        <v>33374839</v>
      </c>
      <c r="H71" s="30">
        <v>21697444</v>
      </c>
      <c r="I71" s="30" t="s">
        <v>346</v>
      </c>
      <c r="J71" s="30" t="s">
        <v>163</v>
      </c>
      <c r="K71" s="30" t="s">
        <v>164</v>
      </c>
      <c r="L71" s="30" t="s">
        <v>165</v>
      </c>
      <c r="M71" s="30" t="s">
        <v>166</v>
      </c>
      <c r="N71" s="30" t="s">
        <v>167</v>
      </c>
      <c r="O71" s="30">
        <v>33374839</v>
      </c>
      <c r="P71" s="30">
        <v>1</v>
      </c>
      <c r="Q71" s="30" t="s">
        <v>168</v>
      </c>
      <c r="R71" s="30" t="s">
        <v>169</v>
      </c>
      <c r="S71" s="30" t="s">
        <v>170</v>
      </c>
      <c r="T71" s="30" t="s">
        <v>171</v>
      </c>
      <c r="U71" s="30" t="s">
        <v>18</v>
      </c>
      <c r="V71" s="30" t="s">
        <v>172</v>
      </c>
      <c r="W71" s="30" t="s">
        <v>282</v>
      </c>
      <c r="X71" s="30" t="s">
        <v>174</v>
      </c>
      <c r="Y71" s="30" t="s">
        <v>347</v>
      </c>
      <c r="Z71" s="30">
        <v>1</v>
      </c>
      <c r="AA71" s="30" t="s">
        <v>176</v>
      </c>
      <c r="AB71" s="30">
        <v>11</v>
      </c>
      <c r="AC71" s="30" t="s">
        <v>177</v>
      </c>
      <c r="AD71" s="30" t="s">
        <v>178</v>
      </c>
      <c r="AE71" s="30" t="s">
        <v>18</v>
      </c>
      <c r="AF71" s="30" t="s">
        <v>16</v>
      </c>
      <c r="AG71" s="30" t="s">
        <v>92</v>
      </c>
      <c r="AH71" s="30" t="s">
        <v>7</v>
      </c>
      <c r="AI71" s="30" t="s">
        <v>93</v>
      </c>
    </row>
    <row r="72" spans="1:35" x14ac:dyDescent="0.3">
      <c r="A72" s="30">
        <v>80</v>
      </c>
      <c r="B72" s="30" t="s">
        <v>161</v>
      </c>
      <c r="C72" s="30" t="s">
        <v>18</v>
      </c>
      <c r="D72" s="31">
        <v>46136</v>
      </c>
      <c r="E72" s="30">
        <v>10</v>
      </c>
      <c r="F72" s="30">
        <v>0</v>
      </c>
      <c r="G72" s="32">
        <v>26822391</v>
      </c>
      <c r="H72" s="30">
        <v>48519835</v>
      </c>
      <c r="I72" s="30" t="s">
        <v>346</v>
      </c>
      <c r="J72" s="30" t="s">
        <v>180</v>
      </c>
      <c r="K72" s="30" t="s">
        <v>181</v>
      </c>
      <c r="L72" s="30" t="s">
        <v>165</v>
      </c>
      <c r="M72" s="30" t="s">
        <v>166</v>
      </c>
      <c r="N72" s="30" t="s">
        <v>167</v>
      </c>
      <c r="O72" s="30">
        <v>26822391</v>
      </c>
      <c r="P72" s="30">
        <v>1</v>
      </c>
      <c r="Q72" s="30" t="s">
        <v>168</v>
      </c>
      <c r="R72" s="30" t="s">
        <v>169</v>
      </c>
      <c r="S72" s="30" t="s">
        <v>170</v>
      </c>
      <c r="T72" s="30" t="s">
        <v>171</v>
      </c>
      <c r="U72" s="30" t="s">
        <v>18</v>
      </c>
      <c r="V72" s="30" t="s">
        <v>172</v>
      </c>
      <c r="W72" s="30" t="s">
        <v>282</v>
      </c>
      <c r="X72" s="30" t="s">
        <v>174</v>
      </c>
      <c r="Y72" s="30" t="s">
        <v>347</v>
      </c>
      <c r="Z72" s="30">
        <v>4</v>
      </c>
      <c r="AA72" s="30" t="s">
        <v>176</v>
      </c>
      <c r="AB72" s="30">
        <v>11</v>
      </c>
      <c r="AC72" s="30" t="s">
        <v>177</v>
      </c>
      <c r="AD72" s="30" t="s">
        <v>178</v>
      </c>
      <c r="AE72" s="30" t="s">
        <v>18</v>
      </c>
      <c r="AF72" s="30" t="s">
        <v>16</v>
      </c>
      <c r="AG72" s="30" t="s">
        <v>90</v>
      </c>
      <c r="AH72" s="30" t="s">
        <v>7</v>
      </c>
      <c r="AI72" s="30" t="s">
        <v>91</v>
      </c>
    </row>
    <row r="73" spans="1:35" x14ac:dyDescent="0.3">
      <c r="A73" s="30">
        <v>81</v>
      </c>
      <c r="B73" s="30" t="s">
        <v>161</v>
      </c>
      <c r="C73" s="30" t="s">
        <v>18</v>
      </c>
      <c r="D73" s="31">
        <v>46142</v>
      </c>
      <c r="E73" s="30">
        <v>1121</v>
      </c>
      <c r="F73" s="30">
        <v>0</v>
      </c>
      <c r="G73" s="32">
        <v>11124946</v>
      </c>
      <c r="H73" s="30">
        <v>59644781</v>
      </c>
      <c r="I73" s="30" t="s">
        <v>348</v>
      </c>
      <c r="J73" s="30" t="s">
        <v>163</v>
      </c>
      <c r="K73" s="30" t="s">
        <v>164</v>
      </c>
      <c r="L73" s="30" t="s">
        <v>203</v>
      </c>
      <c r="M73" s="30" t="s">
        <v>173</v>
      </c>
      <c r="N73" s="30" t="s">
        <v>167</v>
      </c>
      <c r="O73" s="30">
        <v>11124946</v>
      </c>
      <c r="P73" s="30">
        <v>1</v>
      </c>
      <c r="Q73" s="30" t="s">
        <v>168</v>
      </c>
      <c r="R73" s="30" t="s">
        <v>169</v>
      </c>
      <c r="S73" s="30"/>
      <c r="T73" s="30"/>
      <c r="U73" s="30"/>
      <c r="V73" s="30" t="s">
        <v>172</v>
      </c>
      <c r="W73" s="30" t="s">
        <v>282</v>
      </c>
      <c r="X73" s="30" t="s">
        <v>174</v>
      </c>
      <c r="Y73" s="30" t="s">
        <v>349</v>
      </c>
      <c r="Z73" s="30">
        <v>1</v>
      </c>
      <c r="AA73" s="30" t="s">
        <v>197</v>
      </c>
      <c r="AB73" s="30">
        <v>12</v>
      </c>
      <c r="AC73" s="30" t="s">
        <v>205</v>
      </c>
      <c r="AD73" s="30" t="s">
        <v>178</v>
      </c>
      <c r="AE73" s="30" t="s">
        <v>18</v>
      </c>
      <c r="AF73" s="30" t="s">
        <v>16</v>
      </c>
      <c r="AG73" s="30" t="s">
        <v>92</v>
      </c>
      <c r="AH73" s="30" t="s">
        <v>7</v>
      </c>
      <c r="AI73" s="30" t="s">
        <v>93</v>
      </c>
    </row>
    <row r="74" spans="1:35" x14ac:dyDescent="0.3">
      <c r="A74" s="30">
        <v>82</v>
      </c>
      <c r="B74" s="30" t="s">
        <v>161</v>
      </c>
      <c r="C74" s="30" t="s">
        <v>18</v>
      </c>
      <c r="D74" s="31">
        <v>46142</v>
      </c>
      <c r="E74" s="30">
        <v>1121</v>
      </c>
      <c r="F74" s="30">
        <v>0</v>
      </c>
      <c r="G74" s="32">
        <v>8940797</v>
      </c>
      <c r="H74" s="30">
        <v>68585578</v>
      </c>
      <c r="I74" s="30" t="s">
        <v>350</v>
      </c>
      <c r="J74" s="30" t="s">
        <v>180</v>
      </c>
      <c r="K74" s="30" t="s">
        <v>181</v>
      </c>
      <c r="L74" s="30" t="s">
        <v>203</v>
      </c>
      <c r="M74" s="30" t="s">
        <v>173</v>
      </c>
      <c r="N74" s="30" t="s">
        <v>167</v>
      </c>
      <c r="O74" s="30">
        <v>8940797</v>
      </c>
      <c r="P74" s="30">
        <v>1</v>
      </c>
      <c r="Q74" s="30" t="s">
        <v>168</v>
      </c>
      <c r="R74" s="30" t="s">
        <v>169</v>
      </c>
      <c r="S74" s="30"/>
      <c r="T74" s="30"/>
      <c r="U74" s="30"/>
      <c r="V74" s="30" t="s">
        <v>172</v>
      </c>
      <c r="W74" s="30" t="s">
        <v>282</v>
      </c>
      <c r="X74" s="30" t="s">
        <v>174</v>
      </c>
      <c r="Y74" s="30" t="s">
        <v>349</v>
      </c>
      <c r="Z74" s="30">
        <v>3</v>
      </c>
      <c r="AA74" s="30" t="s">
        <v>197</v>
      </c>
      <c r="AB74" s="30">
        <v>12</v>
      </c>
      <c r="AC74" s="30" t="s">
        <v>205</v>
      </c>
      <c r="AD74" s="30" t="s">
        <v>178</v>
      </c>
      <c r="AE74" s="30" t="s">
        <v>18</v>
      </c>
      <c r="AF74" s="30" t="s">
        <v>16</v>
      </c>
      <c r="AG74" s="30" t="s">
        <v>90</v>
      </c>
      <c r="AH74" s="30" t="s">
        <v>7</v>
      </c>
      <c r="AI74" s="30" t="s">
        <v>91</v>
      </c>
    </row>
    <row r="75" spans="1:35" x14ac:dyDescent="0.3">
      <c r="A75" s="30">
        <v>83</v>
      </c>
      <c r="B75" s="30" t="s">
        <v>161</v>
      </c>
      <c r="C75" s="30" t="s">
        <v>18</v>
      </c>
      <c r="D75" s="31">
        <v>46142</v>
      </c>
      <c r="E75" s="30">
        <v>1144</v>
      </c>
      <c r="F75" s="30">
        <v>0</v>
      </c>
      <c r="G75" s="32">
        <v>11027738</v>
      </c>
      <c r="H75" s="30">
        <v>79613316</v>
      </c>
      <c r="I75" s="30" t="s">
        <v>351</v>
      </c>
      <c r="J75" s="30" t="s">
        <v>163</v>
      </c>
      <c r="K75" s="30" t="s">
        <v>164</v>
      </c>
      <c r="L75" s="30" t="s">
        <v>203</v>
      </c>
      <c r="M75" s="30" t="s">
        <v>173</v>
      </c>
      <c r="N75" s="30" t="s">
        <v>167</v>
      </c>
      <c r="O75" s="30">
        <v>11027738</v>
      </c>
      <c r="P75" s="30">
        <v>1</v>
      </c>
      <c r="Q75" s="30" t="s">
        <v>168</v>
      </c>
      <c r="R75" s="30" t="s">
        <v>169</v>
      </c>
      <c r="S75" s="30"/>
      <c r="T75" s="30"/>
      <c r="U75" s="30"/>
      <c r="V75" s="30" t="s">
        <v>172</v>
      </c>
      <c r="W75" s="30" t="s">
        <v>282</v>
      </c>
      <c r="X75" s="30" t="s">
        <v>174</v>
      </c>
      <c r="Y75" s="30" t="s">
        <v>352</v>
      </c>
      <c r="Z75" s="30">
        <v>2</v>
      </c>
      <c r="AA75" s="30" t="s">
        <v>197</v>
      </c>
      <c r="AB75" s="30">
        <v>12</v>
      </c>
      <c r="AC75" s="30" t="s">
        <v>205</v>
      </c>
      <c r="AD75" s="30" t="s">
        <v>178</v>
      </c>
      <c r="AE75" s="30" t="s">
        <v>18</v>
      </c>
      <c r="AF75" s="30" t="s">
        <v>16</v>
      </c>
      <c r="AG75" s="30" t="s">
        <v>92</v>
      </c>
      <c r="AH75" s="30" t="s">
        <v>7</v>
      </c>
      <c r="AI75" s="30" t="s">
        <v>93</v>
      </c>
    </row>
    <row r="76" spans="1:35" x14ac:dyDescent="0.3">
      <c r="A76" s="30">
        <v>84</v>
      </c>
      <c r="B76" s="30" t="s">
        <v>161</v>
      </c>
      <c r="C76" s="30" t="s">
        <v>18</v>
      </c>
      <c r="D76" s="31">
        <v>46142</v>
      </c>
      <c r="E76" s="30">
        <v>1144</v>
      </c>
      <c r="F76" s="30">
        <v>0</v>
      </c>
      <c r="G76" s="32">
        <v>28871506</v>
      </c>
      <c r="H76" s="30">
        <v>108484822</v>
      </c>
      <c r="I76" s="30" t="s">
        <v>353</v>
      </c>
      <c r="J76" s="30" t="s">
        <v>180</v>
      </c>
      <c r="K76" s="30" t="s">
        <v>181</v>
      </c>
      <c r="L76" s="30" t="s">
        <v>203</v>
      </c>
      <c r="M76" s="30" t="s">
        <v>173</v>
      </c>
      <c r="N76" s="30" t="s">
        <v>167</v>
      </c>
      <c r="O76" s="30">
        <v>28871506</v>
      </c>
      <c r="P76" s="30">
        <v>1</v>
      </c>
      <c r="Q76" s="30" t="s">
        <v>168</v>
      </c>
      <c r="R76" s="30" t="s">
        <v>169</v>
      </c>
      <c r="S76" s="30"/>
      <c r="T76" s="30"/>
      <c r="U76" s="30"/>
      <c r="V76" s="30" t="s">
        <v>172</v>
      </c>
      <c r="W76" s="30" t="s">
        <v>282</v>
      </c>
      <c r="X76" s="30" t="s">
        <v>174</v>
      </c>
      <c r="Y76" s="30" t="s">
        <v>352</v>
      </c>
      <c r="Z76" s="30">
        <v>4</v>
      </c>
      <c r="AA76" s="30" t="s">
        <v>197</v>
      </c>
      <c r="AB76" s="30">
        <v>12</v>
      </c>
      <c r="AC76" s="30" t="s">
        <v>205</v>
      </c>
      <c r="AD76" s="30" t="s">
        <v>178</v>
      </c>
      <c r="AE76" s="30" t="s">
        <v>18</v>
      </c>
      <c r="AF76" s="30" t="s">
        <v>16</v>
      </c>
      <c r="AG76" s="30" t="s">
        <v>90</v>
      </c>
      <c r="AH76" s="30" t="s">
        <v>7</v>
      </c>
      <c r="AI76" s="30" t="s">
        <v>91</v>
      </c>
    </row>
    <row r="77" spans="1:35" x14ac:dyDescent="0.3">
      <c r="A77" s="30">
        <v>85</v>
      </c>
      <c r="B77" s="30" t="s">
        <v>161</v>
      </c>
      <c r="C77" s="30" t="s">
        <v>18</v>
      </c>
      <c r="D77" s="31">
        <v>46142</v>
      </c>
      <c r="E77" s="30">
        <v>1144</v>
      </c>
      <c r="F77" s="30">
        <v>0</v>
      </c>
      <c r="G77" s="32">
        <v>101423</v>
      </c>
      <c r="H77" s="30">
        <v>108586245</v>
      </c>
      <c r="I77" s="30" t="s">
        <v>354</v>
      </c>
      <c r="J77" s="30" t="s">
        <v>192</v>
      </c>
      <c r="K77" s="30" t="s">
        <v>193</v>
      </c>
      <c r="L77" s="30" t="s">
        <v>203</v>
      </c>
      <c r="M77" s="30" t="s">
        <v>173</v>
      </c>
      <c r="N77" s="30" t="s">
        <v>167</v>
      </c>
      <c r="O77" s="30">
        <v>101423</v>
      </c>
      <c r="P77" s="30">
        <v>1</v>
      </c>
      <c r="Q77" s="30" t="s">
        <v>168</v>
      </c>
      <c r="R77" s="30" t="s">
        <v>169</v>
      </c>
      <c r="S77" s="30"/>
      <c r="T77" s="30"/>
      <c r="U77" s="30"/>
      <c r="V77" s="30" t="s">
        <v>172</v>
      </c>
      <c r="W77" s="30" t="s">
        <v>282</v>
      </c>
      <c r="X77" s="30" t="s">
        <v>174</v>
      </c>
      <c r="Y77" s="30" t="s">
        <v>352</v>
      </c>
      <c r="Z77" s="30">
        <v>6</v>
      </c>
      <c r="AA77" s="30" t="s">
        <v>197</v>
      </c>
      <c r="AB77" s="30">
        <v>12</v>
      </c>
      <c r="AC77" s="30" t="s">
        <v>205</v>
      </c>
      <c r="AD77" s="30" t="s">
        <v>178</v>
      </c>
      <c r="AE77" s="30" t="s">
        <v>18</v>
      </c>
      <c r="AF77" s="30" t="s">
        <v>16</v>
      </c>
      <c r="AG77" s="30" t="s">
        <v>87</v>
      </c>
      <c r="AH77" s="30" t="s">
        <v>7</v>
      </c>
      <c r="AI77" s="30" t="s">
        <v>88</v>
      </c>
    </row>
    <row r="78" spans="1:35" x14ac:dyDescent="0.3">
      <c r="A78" s="30">
        <v>86</v>
      </c>
      <c r="B78" s="30" t="s">
        <v>161</v>
      </c>
      <c r="C78" s="30" t="s">
        <v>18</v>
      </c>
      <c r="D78" s="31">
        <v>46142</v>
      </c>
      <c r="E78" s="30">
        <v>1131</v>
      </c>
      <c r="F78" s="30">
        <v>0</v>
      </c>
      <c r="G78" s="32">
        <v>835680</v>
      </c>
      <c r="H78" s="30">
        <v>109421925</v>
      </c>
      <c r="I78" s="30" t="s">
        <v>355</v>
      </c>
      <c r="J78" s="30" t="s">
        <v>192</v>
      </c>
      <c r="K78" s="30" t="s">
        <v>193</v>
      </c>
      <c r="L78" s="30" t="s">
        <v>203</v>
      </c>
      <c r="M78" s="30" t="s">
        <v>173</v>
      </c>
      <c r="N78" s="30" t="s">
        <v>167</v>
      </c>
      <c r="O78" s="30">
        <v>835680</v>
      </c>
      <c r="P78" s="30">
        <v>1</v>
      </c>
      <c r="Q78" s="30" t="s">
        <v>168</v>
      </c>
      <c r="R78" s="30" t="s">
        <v>169</v>
      </c>
      <c r="S78" s="30"/>
      <c r="T78" s="30"/>
      <c r="U78" s="30"/>
      <c r="V78" s="30" t="s">
        <v>172</v>
      </c>
      <c r="W78" s="30" t="s">
        <v>282</v>
      </c>
      <c r="X78" s="30" t="s">
        <v>174</v>
      </c>
      <c r="Y78" s="30" t="s">
        <v>356</v>
      </c>
      <c r="Z78" s="30">
        <v>3</v>
      </c>
      <c r="AA78" s="30" t="s">
        <v>197</v>
      </c>
      <c r="AB78" s="30">
        <v>11</v>
      </c>
      <c r="AC78" s="30" t="s">
        <v>177</v>
      </c>
      <c r="AD78" s="30" t="s">
        <v>178</v>
      </c>
      <c r="AE78" s="30" t="s">
        <v>18</v>
      </c>
      <c r="AF78" s="30" t="s">
        <v>16</v>
      </c>
      <c r="AG78" s="30" t="s">
        <v>87</v>
      </c>
      <c r="AH78" s="30" t="s">
        <v>7</v>
      </c>
      <c r="AI78" s="30" t="s">
        <v>88</v>
      </c>
    </row>
    <row r="79" spans="1:35" x14ac:dyDescent="0.3">
      <c r="A79" s="30">
        <v>87</v>
      </c>
      <c r="B79" s="30" t="s">
        <v>161</v>
      </c>
      <c r="C79" s="30" t="s">
        <v>18</v>
      </c>
      <c r="D79" s="31">
        <v>46142</v>
      </c>
      <c r="E79" s="30">
        <v>1131</v>
      </c>
      <c r="F79" s="30">
        <v>0</v>
      </c>
      <c r="G79" s="32">
        <v>175000</v>
      </c>
      <c r="H79" s="30">
        <v>109596925</v>
      </c>
      <c r="I79" s="30" t="s">
        <v>357</v>
      </c>
      <c r="J79" s="30" t="s">
        <v>199</v>
      </c>
      <c r="K79" s="30" t="s">
        <v>200</v>
      </c>
      <c r="L79" s="30" t="s">
        <v>203</v>
      </c>
      <c r="M79" s="30" t="s">
        <v>173</v>
      </c>
      <c r="N79" s="30" t="s">
        <v>167</v>
      </c>
      <c r="O79" s="30">
        <v>175000</v>
      </c>
      <c r="P79" s="30">
        <v>1</v>
      </c>
      <c r="Q79" s="30" t="s">
        <v>168</v>
      </c>
      <c r="R79" s="30" t="s">
        <v>169</v>
      </c>
      <c r="S79" s="30"/>
      <c r="T79" s="30"/>
      <c r="U79" s="30"/>
      <c r="V79" s="30" t="s">
        <v>172</v>
      </c>
      <c r="W79" s="30" t="s">
        <v>282</v>
      </c>
      <c r="X79" s="30" t="s">
        <v>174</v>
      </c>
      <c r="Y79" s="30" t="s">
        <v>356</v>
      </c>
      <c r="Z79" s="30">
        <v>6</v>
      </c>
      <c r="AA79" s="30" t="s">
        <v>197</v>
      </c>
      <c r="AB79" s="30">
        <v>11</v>
      </c>
      <c r="AC79" s="30" t="s">
        <v>177</v>
      </c>
      <c r="AD79" s="30" t="s">
        <v>178</v>
      </c>
      <c r="AE79" s="30" t="s">
        <v>18</v>
      </c>
      <c r="AF79" s="30" t="s">
        <v>16</v>
      </c>
      <c r="AG79" s="30" t="s">
        <v>78</v>
      </c>
      <c r="AH79" s="30" t="s">
        <v>7</v>
      </c>
      <c r="AI79" s="30" t="s">
        <v>79</v>
      </c>
    </row>
    <row r="80" spans="1:35" x14ac:dyDescent="0.3">
      <c r="A80" s="30">
        <v>88</v>
      </c>
      <c r="B80" s="30" t="s">
        <v>161</v>
      </c>
      <c r="C80" s="30" t="s">
        <v>18</v>
      </c>
      <c r="D80" s="31">
        <v>46142</v>
      </c>
      <c r="E80" s="30">
        <v>1215</v>
      </c>
      <c r="F80" s="30">
        <v>0</v>
      </c>
      <c r="G80" s="32">
        <v>140822</v>
      </c>
      <c r="H80" s="30">
        <v>109737747</v>
      </c>
      <c r="I80" s="30" t="s">
        <v>358</v>
      </c>
      <c r="J80" s="30" t="s">
        <v>183</v>
      </c>
      <c r="K80" s="30" t="s">
        <v>184</v>
      </c>
      <c r="L80" s="30" t="s">
        <v>248</v>
      </c>
      <c r="M80" s="30" t="s">
        <v>249</v>
      </c>
      <c r="N80" s="30" t="s">
        <v>167</v>
      </c>
      <c r="O80" s="30">
        <v>140822</v>
      </c>
      <c r="P80" s="30">
        <v>1</v>
      </c>
      <c r="Q80" s="30" t="s">
        <v>187</v>
      </c>
      <c r="R80" s="30" t="s">
        <v>188</v>
      </c>
      <c r="S80" s="30" t="s">
        <v>170</v>
      </c>
      <c r="T80" s="30" t="s">
        <v>171</v>
      </c>
      <c r="U80" s="30" t="s">
        <v>18</v>
      </c>
      <c r="V80" s="30" t="s">
        <v>172</v>
      </c>
      <c r="W80" s="30" t="s">
        <v>282</v>
      </c>
      <c r="X80" s="30" t="s">
        <v>228</v>
      </c>
      <c r="Y80" s="30" t="s">
        <v>359</v>
      </c>
      <c r="Z80" s="30">
        <v>1</v>
      </c>
      <c r="AA80" s="30" t="s">
        <v>176</v>
      </c>
      <c r="AB80" s="30">
        <v>11</v>
      </c>
      <c r="AC80" s="30" t="s">
        <v>177</v>
      </c>
      <c r="AD80" s="30" t="s">
        <v>178</v>
      </c>
      <c r="AE80" s="30" t="s">
        <v>18</v>
      </c>
      <c r="AF80" s="30" t="s">
        <v>16</v>
      </c>
      <c r="AG80" s="30" t="s">
        <v>83</v>
      </c>
      <c r="AH80" s="30" t="s">
        <v>7</v>
      </c>
      <c r="AI80" s="30" t="s">
        <v>84</v>
      </c>
    </row>
    <row r="81" spans="1:35" x14ac:dyDescent="0.3">
      <c r="A81" s="30">
        <v>89</v>
      </c>
      <c r="B81" s="30" t="s">
        <v>161</v>
      </c>
      <c r="C81" s="30" t="s">
        <v>18</v>
      </c>
      <c r="D81" s="31">
        <v>46142</v>
      </c>
      <c r="E81" s="30">
        <v>1216</v>
      </c>
      <c r="F81" s="30">
        <v>0</v>
      </c>
      <c r="G81" s="32">
        <v>162700</v>
      </c>
      <c r="H81" s="30">
        <v>109900447</v>
      </c>
      <c r="I81" s="30" t="s">
        <v>360</v>
      </c>
      <c r="J81" s="30" t="s">
        <v>180</v>
      </c>
      <c r="K81" s="30" t="s">
        <v>181</v>
      </c>
      <c r="L81" s="30" t="s">
        <v>219</v>
      </c>
      <c r="M81" s="30" t="s">
        <v>220</v>
      </c>
      <c r="N81" s="30" t="s">
        <v>167</v>
      </c>
      <c r="O81" s="30">
        <v>162700</v>
      </c>
      <c r="P81" s="30">
        <v>1</v>
      </c>
      <c r="Q81" s="30" t="s">
        <v>168</v>
      </c>
      <c r="R81" s="30" t="s">
        <v>169</v>
      </c>
      <c r="S81" s="30" t="s">
        <v>170</v>
      </c>
      <c r="T81" s="30" t="s">
        <v>171</v>
      </c>
      <c r="U81" s="30" t="s">
        <v>18</v>
      </c>
      <c r="V81" s="30" t="s">
        <v>172</v>
      </c>
      <c r="W81" s="30" t="s">
        <v>282</v>
      </c>
      <c r="X81" s="30" t="s">
        <v>228</v>
      </c>
      <c r="Y81" s="30" t="s">
        <v>361</v>
      </c>
      <c r="Z81" s="30">
        <v>1</v>
      </c>
      <c r="AA81" s="30" t="s">
        <v>176</v>
      </c>
      <c r="AB81" s="30">
        <v>11</v>
      </c>
      <c r="AC81" s="30" t="s">
        <v>177</v>
      </c>
      <c r="AD81" s="30" t="s">
        <v>178</v>
      </c>
      <c r="AE81" s="30" t="s">
        <v>18</v>
      </c>
      <c r="AF81" s="30" t="s">
        <v>16</v>
      </c>
      <c r="AG81" s="30" t="s">
        <v>90</v>
      </c>
      <c r="AH81" s="30" t="s">
        <v>7</v>
      </c>
      <c r="AI81" s="30" t="s">
        <v>91</v>
      </c>
    </row>
    <row r="82" spans="1:35" x14ac:dyDescent="0.3">
      <c r="A82" s="30">
        <v>90</v>
      </c>
      <c r="B82" s="30" t="s">
        <v>161</v>
      </c>
      <c r="C82" s="30" t="s">
        <v>18</v>
      </c>
      <c r="D82" s="31">
        <v>46142</v>
      </c>
      <c r="E82" s="30">
        <v>1217</v>
      </c>
      <c r="F82" s="30">
        <v>0</v>
      </c>
      <c r="G82" s="32">
        <v>23759</v>
      </c>
      <c r="H82" s="30">
        <v>109924206</v>
      </c>
      <c r="I82" s="30" t="s">
        <v>362</v>
      </c>
      <c r="J82" s="30" t="s">
        <v>241</v>
      </c>
      <c r="K82" s="30" t="s">
        <v>242</v>
      </c>
      <c r="L82" s="30" t="s">
        <v>219</v>
      </c>
      <c r="M82" s="30" t="s">
        <v>220</v>
      </c>
      <c r="N82" s="30" t="s">
        <v>167</v>
      </c>
      <c r="O82" s="30">
        <v>23759</v>
      </c>
      <c r="P82" s="30">
        <v>1</v>
      </c>
      <c r="Q82" s="30" t="s">
        <v>243</v>
      </c>
      <c r="R82" s="30" t="s">
        <v>244</v>
      </c>
      <c r="S82" s="30" t="s">
        <v>170</v>
      </c>
      <c r="T82" s="30" t="s">
        <v>171</v>
      </c>
      <c r="U82" s="30" t="s">
        <v>18</v>
      </c>
      <c r="V82" s="30" t="s">
        <v>172</v>
      </c>
      <c r="W82" s="30" t="s">
        <v>282</v>
      </c>
      <c r="X82" s="30" t="s">
        <v>228</v>
      </c>
      <c r="Y82" s="30" t="s">
        <v>363</v>
      </c>
      <c r="Z82" s="30">
        <v>1</v>
      </c>
      <c r="AA82" s="30" t="s">
        <v>176</v>
      </c>
      <c r="AB82" s="30">
        <v>11</v>
      </c>
      <c r="AC82" s="30" t="s">
        <v>177</v>
      </c>
      <c r="AD82" s="30" t="s">
        <v>178</v>
      </c>
      <c r="AE82" s="30" t="s">
        <v>18</v>
      </c>
      <c r="AF82" s="30" t="s">
        <v>61</v>
      </c>
      <c r="AG82" s="30" t="s">
        <v>70</v>
      </c>
      <c r="AH82" s="30" t="s">
        <v>7</v>
      </c>
      <c r="AI82" s="30" t="s">
        <v>116</v>
      </c>
    </row>
    <row r="83" spans="1:35" x14ac:dyDescent="0.3">
      <c r="A83" s="30">
        <v>91</v>
      </c>
      <c r="B83" s="30" t="s">
        <v>161</v>
      </c>
      <c r="C83" s="30" t="s">
        <v>18</v>
      </c>
      <c r="D83" s="31">
        <v>46142</v>
      </c>
      <c r="E83" s="30">
        <v>1221</v>
      </c>
      <c r="F83" s="30">
        <v>0</v>
      </c>
      <c r="G83" s="32">
        <v>19424576</v>
      </c>
      <c r="H83" s="30">
        <v>129348782</v>
      </c>
      <c r="I83" s="30" t="s">
        <v>364</v>
      </c>
      <c r="J83" s="30" t="s">
        <v>299</v>
      </c>
      <c r="K83" s="30" t="s">
        <v>300</v>
      </c>
      <c r="L83" s="30" t="s">
        <v>365</v>
      </c>
      <c r="M83" s="30" t="s">
        <v>366</v>
      </c>
      <c r="N83" s="30" t="s">
        <v>167</v>
      </c>
      <c r="O83" s="30">
        <v>19424576</v>
      </c>
      <c r="P83" s="30">
        <v>1</v>
      </c>
      <c r="Q83" s="30" t="s">
        <v>301</v>
      </c>
      <c r="R83" s="30" t="s">
        <v>302</v>
      </c>
      <c r="S83" s="30" t="s">
        <v>170</v>
      </c>
      <c r="T83" s="30" t="s">
        <v>171</v>
      </c>
      <c r="U83" s="30" t="s">
        <v>18</v>
      </c>
      <c r="V83" s="30" t="s">
        <v>172</v>
      </c>
      <c r="W83" s="30" t="s">
        <v>282</v>
      </c>
      <c r="X83" s="30" t="s">
        <v>228</v>
      </c>
      <c r="Y83" s="30" t="s">
        <v>367</v>
      </c>
      <c r="Z83" s="30">
        <v>1</v>
      </c>
      <c r="AA83" s="30" t="s">
        <v>176</v>
      </c>
      <c r="AB83" s="30">
        <v>11</v>
      </c>
      <c r="AC83" s="30" t="s">
        <v>177</v>
      </c>
      <c r="AD83" s="30" t="s">
        <v>178</v>
      </c>
      <c r="AE83" s="30" t="s">
        <v>18</v>
      </c>
      <c r="AF83" s="30" t="s">
        <v>61</v>
      </c>
      <c r="AG83" s="30" t="s">
        <v>67</v>
      </c>
      <c r="AH83" s="30" t="s">
        <v>7</v>
      </c>
      <c r="AI83" s="30" t="s">
        <v>120</v>
      </c>
    </row>
    <row r="84" spans="1:35" x14ac:dyDescent="0.3">
      <c r="A84" s="30">
        <v>92</v>
      </c>
      <c r="B84" s="30" t="s">
        <v>161</v>
      </c>
      <c r="C84" s="30" t="s">
        <v>18</v>
      </c>
      <c r="D84" s="31">
        <v>46142</v>
      </c>
      <c r="E84" s="30">
        <v>1222</v>
      </c>
      <c r="F84" s="30">
        <v>0</v>
      </c>
      <c r="G84" s="32">
        <v>50000000</v>
      </c>
      <c r="H84" s="30">
        <v>179348782</v>
      </c>
      <c r="I84" s="30" t="s">
        <v>368</v>
      </c>
      <c r="J84" s="30" t="s">
        <v>268</v>
      </c>
      <c r="K84" s="30" t="s">
        <v>269</v>
      </c>
      <c r="L84" s="30" t="s">
        <v>365</v>
      </c>
      <c r="M84" s="30" t="s">
        <v>366</v>
      </c>
      <c r="N84" s="30" t="s">
        <v>167</v>
      </c>
      <c r="O84" s="30">
        <v>50000000</v>
      </c>
      <c r="P84" s="30">
        <v>1</v>
      </c>
      <c r="Q84" s="30" t="s">
        <v>272</v>
      </c>
      <c r="R84" s="30" t="s">
        <v>273</v>
      </c>
      <c r="S84" s="30" t="s">
        <v>170</v>
      </c>
      <c r="T84" s="30" t="s">
        <v>171</v>
      </c>
      <c r="U84" s="30" t="s">
        <v>18</v>
      </c>
      <c r="V84" s="30" t="s">
        <v>172</v>
      </c>
      <c r="W84" s="30" t="s">
        <v>282</v>
      </c>
      <c r="X84" s="30" t="s">
        <v>228</v>
      </c>
      <c r="Y84" s="30" t="s">
        <v>369</v>
      </c>
      <c r="Z84" s="30">
        <v>1</v>
      </c>
      <c r="AA84" s="30" t="s">
        <v>176</v>
      </c>
      <c r="AB84" s="30">
        <v>11</v>
      </c>
      <c r="AC84" s="30" t="s">
        <v>177</v>
      </c>
      <c r="AD84" s="30" t="s">
        <v>178</v>
      </c>
      <c r="AE84" s="30" t="s">
        <v>18</v>
      </c>
      <c r="AF84" s="30" t="s">
        <v>16</v>
      </c>
      <c r="AG84" s="30" t="s">
        <v>76</v>
      </c>
      <c r="AH84" s="30" t="s">
        <v>7</v>
      </c>
      <c r="AI84" s="30" t="s">
        <v>117</v>
      </c>
    </row>
    <row r="85" spans="1:35" x14ac:dyDescent="0.3">
      <c r="A85" s="30">
        <v>93</v>
      </c>
      <c r="B85" s="30" t="s">
        <v>161</v>
      </c>
      <c r="C85" s="30" t="s">
        <v>18</v>
      </c>
      <c r="D85" s="31">
        <v>46142</v>
      </c>
      <c r="E85" s="30">
        <v>1223</v>
      </c>
      <c r="F85" s="30">
        <v>0</v>
      </c>
      <c r="G85" s="32">
        <v>19374429</v>
      </c>
      <c r="H85" s="30">
        <v>198723211</v>
      </c>
      <c r="I85" s="30" t="s">
        <v>370</v>
      </c>
      <c r="J85" s="30" t="s">
        <v>209</v>
      </c>
      <c r="K85" s="30" t="s">
        <v>210</v>
      </c>
      <c r="L85" s="30" t="s">
        <v>211</v>
      </c>
      <c r="M85" s="30" t="s">
        <v>212</v>
      </c>
      <c r="N85" s="30" t="s">
        <v>167</v>
      </c>
      <c r="O85" s="30">
        <v>19374429</v>
      </c>
      <c r="P85" s="30">
        <v>1</v>
      </c>
      <c r="Q85" s="30" t="s">
        <v>213</v>
      </c>
      <c r="R85" s="30" t="s">
        <v>214</v>
      </c>
      <c r="S85" s="30" t="s">
        <v>170</v>
      </c>
      <c r="T85" s="30" t="s">
        <v>171</v>
      </c>
      <c r="U85" s="30" t="s">
        <v>18</v>
      </c>
      <c r="V85" s="30" t="s">
        <v>172</v>
      </c>
      <c r="W85" s="30" t="s">
        <v>282</v>
      </c>
      <c r="X85" s="30" t="s">
        <v>228</v>
      </c>
      <c r="Y85" s="30" t="s">
        <v>371</v>
      </c>
      <c r="Z85" s="30">
        <v>1</v>
      </c>
      <c r="AA85" s="30" t="s">
        <v>176</v>
      </c>
      <c r="AB85" s="30">
        <v>11</v>
      </c>
      <c r="AC85" s="30" t="s">
        <v>177</v>
      </c>
      <c r="AD85" s="30" t="s">
        <v>178</v>
      </c>
      <c r="AE85" s="30" t="s">
        <v>18</v>
      </c>
      <c r="AF85" s="30" t="s">
        <v>16</v>
      </c>
      <c r="AG85" s="30" t="s">
        <v>94</v>
      </c>
      <c r="AH85" s="30" t="s">
        <v>7</v>
      </c>
      <c r="AI85" s="30" t="s">
        <v>95</v>
      </c>
    </row>
    <row r="86" spans="1:35" x14ac:dyDescent="0.3">
      <c r="A86" s="30">
        <v>94</v>
      </c>
      <c r="B86" s="30" t="s">
        <v>161</v>
      </c>
      <c r="C86" s="30" t="s">
        <v>18</v>
      </c>
      <c r="D86" s="31">
        <v>46142</v>
      </c>
      <c r="E86" s="30">
        <v>1223</v>
      </c>
      <c r="F86" s="30">
        <v>0</v>
      </c>
      <c r="G86" s="32">
        <v>1505967</v>
      </c>
      <c r="H86" s="30">
        <v>200229178</v>
      </c>
      <c r="I86" s="30" t="s">
        <v>372</v>
      </c>
      <c r="J86" s="30" t="s">
        <v>209</v>
      </c>
      <c r="K86" s="30" t="s">
        <v>210</v>
      </c>
      <c r="L86" s="30" t="s">
        <v>211</v>
      </c>
      <c r="M86" s="30" t="s">
        <v>212</v>
      </c>
      <c r="N86" s="30" t="s">
        <v>167</v>
      </c>
      <c r="O86" s="30">
        <v>1505967</v>
      </c>
      <c r="P86" s="30">
        <v>1</v>
      </c>
      <c r="Q86" s="30" t="s">
        <v>216</v>
      </c>
      <c r="R86" s="30" t="s">
        <v>217</v>
      </c>
      <c r="S86" s="30" t="s">
        <v>170</v>
      </c>
      <c r="T86" s="30" t="s">
        <v>171</v>
      </c>
      <c r="U86" s="30" t="s">
        <v>18</v>
      </c>
      <c r="V86" s="30" t="s">
        <v>172</v>
      </c>
      <c r="W86" s="30" t="s">
        <v>282</v>
      </c>
      <c r="X86" s="30" t="s">
        <v>228</v>
      </c>
      <c r="Y86" s="30" t="s">
        <v>371</v>
      </c>
      <c r="Z86" s="30">
        <v>4</v>
      </c>
      <c r="AA86" s="30" t="s">
        <v>176</v>
      </c>
      <c r="AB86" s="30">
        <v>11</v>
      </c>
      <c r="AC86" s="30" t="s">
        <v>177</v>
      </c>
      <c r="AD86" s="30" t="s">
        <v>178</v>
      </c>
      <c r="AE86" s="30" t="s">
        <v>18</v>
      </c>
      <c r="AF86" s="30" t="s">
        <v>16</v>
      </c>
      <c r="AG86" s="30" t="s">
        <v>94</v>
      </c>
      <c r="AH86" s="30" t="s">
        <v>7</v>
      </c>
      <c r="AI86" s="30" t="s">
        <v>95</v>
      </c>
    </row>
    <row r="87" spans="1:35" x14ac:dyDescent="0.3">
      <c r="A87" s="30">
        <v>95</v>
      </c>
      <c r="B87" s="30" t="s">
        <v>161</v>
      </c>
      <c r="C87" s="30" t="s">
        <v>18</v>
      </c>
      <c r="D87" s="31">
        <v>46142</v>
      </c>
      <c r="E87" s="30">
        <v>1305</v>
      </c>
      <c r="F87" s="30">
        <v>0</v>
      </c>
      <c r="G87" s="32">
        <v>1988901</v>
      </c>
      <c r="H87" s="30">
        <v>202218079</v>
      </c>
      <c r="I87" s="30" t="s">
        <v>373</v>
      </c>
      <c r="J87" s="30" t="s">
        <v>163</v>
      </c>
      <c r="K87" s="30" t="s">
        <v>164</v>
      </c>
      <c r="L87" s="30" t="s">
        <v>194</v>
      </c>
      <c r="M87" s="30" t="s">
        <v>195</v>
      </c>
      <c r="N87" s="30" t="s">
        <v>167</v>
      </c>
      <c r="O87" s="30">
        <v>1988901</v>
      </c>
      <c r="P87" s="30">
        <v>1</v>
      </c>
      <c r="Q87" s="30" t="s">
        <v>168</v>
      </c>
      <c r="R87" s="30" t="s">
        <v>169</v>
      </c>
      <c r="S87" s="30"/>
      <c r="T87" s="30"/>
      <c r="U87" s="30"/>
      <c r="V87" s="30" t="s">
        <v>172</v>
      </c>
      <c r="W87" s="30" t="s">
        <v>282</v>
      </c>
      <c r="X87" s="30" t="s">
        <v>228</v>
      </c>
      <c r="Y87" s="30" t="s">
        <v>374</v>
      </c>
      <c r="Z87" s="30">
        <v>1</v>
      </c>
      <c r="AA87" s="30" t="s">
        <v>197</v>
      </c>
      <c r="AB87" s="30">
        <v>11</v>
      </c>
      <c r="AC87" s="30" t="s">
        <v>177</v>
      </c>
      <c r="AD87" s="30" t="s">
        <v>178</v>
      </c>
      <c r="AE87" s="30" t="s">
        <v>18</v>
      </c>
      <c r="AF87" s="30" t="s">
        <v>16</v>
      </c>
      <c r="AG87" s="30" t="s">
        <v>92</v>
      </c>
      <c r="AH87" s="30" t="s">
        <v>7</v>
      </c>
      <c r="AI87" s="30" t="s">
        <v>93</v>
      </c>
    </row>
    <row r="88" spans="1:35" x14ac:dyDescent="0.3">
      <c r="A88" s="30">
        <v>96</v>
      </c>
      <c r="B88" s="30" t="s">
        <v>161</v>
      </c>
      <c r="C88" s="30" t="s">
        <v>18</v>
      </c>
      <c r="D88" s="31">
        <v>46142</v>
      </c>
      <c r="E88" s="30">
        <v>1305</v>
      </c>
      <c r="F88" s="30">
        <v>0</v>
      </c>
      <c r="G88" s="32">
        <v>806224</v>
      </c>
      <c r="H88" s="30">
        <v>203024303</v>
      </c>
      <c r="I88" s="30" t="s">
        <v>375</v>
      </c>
      <c r="J88" s="30" t="s">
        <v>163</v>
      </c>
      <c r="K88" s="30" t="s">
        <v>164</v>
      </c>
      <c r="L88" s="30" t="s">
        <v>194</v>
      </c>
      <c r="M88" s="30" t="s">
        <v>195</v>
      </c>
      <c r="N88" s="30" t="s">
        <v>167</v>
      </c>
      <c r="O88" s="30">
        <v>806224</v>
      </c>
      <c r="P88" s="30">
        <v>1</v>
      </c>
      <c r="Q88" s="30" t="s">
        <v>168</v>
      </c>
      <c r="R88" s="30" t="s">
        <v>169</v>
      </c>
      <c r="S88" s="30"/>
      <c r="T88" s="30"/>
      <c r="U88" s="30"/>
      <c r="V88" s="30" t="s">
        <v>172</v>
      </c>
      <c r="W88" s="30" t="s">
        <v>282</v>
      </c>
      <c r="X88" s="30" t="s">
        <v>228</v>
      </c>
      <c r="Y88" s="30" t="s">
        <v>374</v>
      </c>
      <c r="Z88" s="30">
        <v>4</v>
      </c>
      <c r="AA88" s="30" t="s">
        <v>197</v>
      </c>
      <c r="AB88" s="30">
        <v>11</v>
      </c>
      <c r="AC88" s="30" t="s">
        <v>177</v>
      </c>
      <c r="AD88" s="30" t="s">
        <v>178</v>
      </c>
      <c r="AE88" s="30" t="s">
        <v>18</v>
      </c>
      <c r="AF88" s="30" t="s">
        <v>16</v>
      </c>
      <c r="AG88" s="30" t="s">
        <v>92</v>
      </c>
      <c r="AH88" s="30" t="s">
        <v>7</v>
      </c>
      <c r="AI88" s="30" t="s">
        <v>93</v>
      </c>
    </row>
    <row r="89" spans="1:35" x14ac:dyDescent="0.3">
      <c r="A89" s="30">
        <v>97</v>
      </c>
      <c r="B89" s="30" t="s">
        <v>161</v>
      </c>
      <c r="C89" s="30" t="s">
        <v>18</v>
      </c>
      <c r="D89" s="31">
        <v>46142</v>
      </c>
      <c r="E89" s="30">
        <v>1319</v>
      </c>
      <c r="F89" s="30">
        <v>0</v>
      </c>
      <c r="G89" s="32">
        <v>22132224</v>
      </c>
      <c r="H89" s="30">
        <v>225156527</v>
      </c>
      <c r="I89" s="30" t="s">
        <v>376</v>
      </c>
      <c r="J89" s="30" t="s">
        <v>231</v>
      </c>
      <c r="K89" s="30" t="s">
        <v>232</v>
      </c>
      <c r="L89" s="30" t="s">
        <v>211</v>
      </c>
      <c r="M89" s="30" t="s">
        <v>212</v>
      </c>
      <c r="N89" s="30" t="s">
        <v>167</v>
      </c>
      <c r="O89" s="30">
        <v>22132224</v>
      </c>
      <c r="P89" s="30">
        <v>1</v>
      </c>
      <c r="Q89" s="30" t="s">
        <v>168</v>
      </c>
      <c r="R89" s="30" t="s">
        <v>169</v>
      </c>
      <c r="S89" s="30"/>
      <c r="T89" s="30"/>
      <c r="U89" s="30"/>
      <c r="V89" s="30" t="s">
        <v>172</v>
      </c>
      <c r="W89" s="30" t="s">
        <v>282</v>
      </c>
      <c r="X89" s="30" t="s">
        <v>228</v>
      </c>
      <c r="Y89" s="30" t="s">
        <v>377</v>
      </c>
      <c r="Z89" s="30">
        <v>1</v>
      </c>
      <c r="AA89" s="30" t="s">
        <v>197</v>
      </c>
      <c r="AB89" s="30">
        <v>11</v>
      </c>
      <c r="AC89" s="30" t="s">
        <v>177</v>
      </c>
      <c r="AD89" s="30" t="s">
        <v>178</v>
      </c>
      <c r="AE89" s="30" t="s">
        <v>18</v>
      </c>
      <c r="AF89" s="30" t="s">
        <v>61</v>
      </c>
      <c r="AG89" s="30" t="s">
        <v>65</v>
      </c>
      <c r="AH89" s="30" t="s">
        <v>7</v>
      </c>
      <c r="AI89" s="30"/>
    </row>
    <row r="90" spans="1:35" x14ac:dyDescent="0.3">
      <c r="A90" s="30">
        <v>98</v>
      </c>
      <c r="B90" s="30" t="s">
        <v>161</v>
      </c>
      <c r="C90" s="30" t="s">
        <v>18</v>
      </c>
      <c r="D90" s="31">
        <v>46142</v>
      </c>
      <c r="E90" s="30">
        <v>1319</v>
      </c>
      <c r="F90" s="30">
        <v>0</v>
      </c>
      <c r="G90" s="32">
        <v>17450350</v>
      </c>
      <c r="H90" s="30">
        <v>242606877</v>
      </c>
      <c r="I90" s="30" t="s">
        <v>378</v>
      </c>
      <c r="J90" s="30" t="s">
        <v>326</v>
      </c>
      <c r="K90" s="30" t="s">
        <v>327</v>
      </c>
      <c r="L90" s="30" t="s">
        <v>211</v>
      </c>
      <c r="M90" s="30" t="s">
        <v>212</v>
      </c>
      <c r="N90" s="30" t="s">
        <v>167</v>
      </c>
      <c r="O90" s="30">
        <v>17450350</v>
      </c>
      <c r="P90" s="30">
        <v>1</v>
      </c>
      <c r="Q90" s="30" t="s">
        <v>168</v>
      </c>
      <c r="R90" s="30" t="s">
        <v>169</v>
      </c>
      <c r="S90" s="30"/>
      <c r="T90" s="30"/>
      <c r="U90" s="30"/>
      <c r="V90" s="30" t="s">
        <v>172</v>
      </c>
      <c r="W90" s="30" t="s">
        <v>282</v>
      </c>
      <c r="X90" s="30" t="s">
        <v>228</v>
      </c>
      <c r="Y90" s="30" t="s">
        <v>377</v>
      </c>
      <c r="Z90" s="30">
        <v>2</v>
      </c>
      <c r="AA90" s="30" t="s">
        <v>197</v>
      </c>
      <c r="AB90" s="30">
        <v>11</v>
      </c>
      <c r="AC90" s="30" t="s">
        <v>177</v>
      </c>
      <c r="AD90" s="30" t="s">
        <v>178</v>
      </c>
      <c r="AE90" s="30" t="s">
        <v>18</v>
      </c>
      <c r="AF90" s="30" t="s">
        <v>61</v>
      </c>
      <c r="AG90" s="30" t="s">
        <v>66</v>
      </c>
      <c r="AH90" s="30" t="s">
        <v>7</v>
      </c>
      <c r="AI90" s="30"/>
    </row>
    <row r="91" spans="1:35" x14ac:dyDescent="0.3">
      <c r="A91" s="30">
        <v>99</v>
      </c>
      <c r="B91" s="30" t="s">
        <v>161</v>
      </c>
      <c r="C91" s="30" t="s">
        <v>18</v>
      </c>
      <c r="D91" s="31">
        <v>46142</v>
      </c>
      <c r="E91" s="30">
        <v>1319</v>
      </c>
      <c r="F91" s="30">
        <v>0</v>
      </c>
      <c r="G91" s="32">
        <v>19466595</v>
      </c>
      <c r="H91" s="30">
        <v>262073472</v>
      </c>
      <c r="I91" s="30" t="s">
        <v>379</v>
      </c>
      <c r="J91" s="30" t="s">
        <v>235</v>
      </c>
      <c r="K91" s="30" t="s">
        <v>236</v>
      </c>
      <c r="L91" s="30" t="s">
        <v>211</v>
      </c>
      <c r="M91" s="30" t="s">
        <v>212</v>
      </c>
      <c r="N91" s="30" t="s">
        <v>167</v>
      </c>
      <c r="O91" s="30">
        <v>19466595</v>
      </c>
      <c r="P91" s="30">
        <v>1</v>
      </c>
      <c r="Q91" s="30" t="s">
        <v>168</v>
      </c>
      <c r="R91" s="30" t="s">
        <v>169</v>
      </c>
      <c r="S91" s="30"/>
      <c r="T91" s="30"/>
      <c r="U91" s="30"/>
      <c r="V91" s="30" t="s">
        <v>172</v>
      </c>
      <c r="W91" s="30" t="s">
        <v>282</v>
      </c>
      <c r="X91" s="30" t="s">
        <v>228</v>
      </c>
      <c r="Y91" s="30" t="s">
        <v>377</v>
      </c>
      <c r="Z91" s="30">
        <v>3</v>
      </c>
      <c r="AA91" s="30" t="s">
        <v>197</v>
      </c>
      <c r="AB91" s="30">
        <v>11</v>
      </c>
      <c r="AC91" s="30" t="s">
        <v>177</v>
      </c>
      <c r="AD91" s="30" t="s">
        <v>178</v>
      </c>
      <c r="AE91" s="30" t="s">
        <v>18</v>
      </c>
      <c r="AF91" s="30" t="s">
        <v>16</v>
      </c>
      <c r="AG91" s="30" t="s">
        <v>77</v>
      </c>
      <c r="AH91" s="30" t="s">
        <v>7</v>
      </c>
      <c r="AI91" s="30"/>
    </row>
    <row r="92" spans="1:35" x14ac:dyDescent="0.3">
      <c r="A92" s="30">
        <v>100</v>
      </c>
      <c r="B92" s="30" t="s">
        <v>161</v>
      </c>
      <c r="C92" s="30" t="s">
        <v>18</v>
      </c>
      <c r="D92" s="31">
        <v>46142</v>
      </c>
      <c r="E92" s="30">
        <v>1319</v>
      </c>
      <c r="F92" s="30">
        <v>0</v>
      </c>
      <c r="G92" s="32">
        <v>12735678</v>
      </c>
      <c r="H92" s="30">
        <v>274809150</v>
      </c>
      <c r="I92" s="30" t="s">
        <v>380</v>
      </c>
      <c r="J92" s="30" t="s">
        <v>235</v>
      </c>
      <c r="K92" s="30" t="s">
        <v>236</v>
      </c>
      <c r="L92" s="30" t="s">
        <v>211</v>
      </c>
      <c r="M92" s="30" t="s">
        <v>212</v>
      </c>
      <c r="N92" s="30" t="s">
        <v>167</v>
      </c>
      <c r="O92" s="30">
        <v>12735678</v>
      </c>
      <c r="P92" s="30">
        <v>1</v>
      </c>
      <c r="Q92" s="30" t="s">
        <v>168</v>
      </c>
      <c r="R92" s="30" t="s">
        <v>169</v>
      </c>
      <c r="S92" s="30"/>
      <c r="T92" s="30"/>
      <c r="U92" s="30"/>
      <c r="V92" s="30" t="s">
        <v>172</v>
      </c>
      <c r="W92" s="30" t="s">
        <v>282</v>
      </c>
      <c r="X92" s="30" t="s">
        <v>228</v>
      </c>
      <c r="Y92" s="30" t="s">
        <v>377</v>
      </c>
      <c r="Z92" s="30">
        <v>4</v>
      </c>
      <c r="AA92" s="30" t="s">
        <v>197</v>
      </c>
      <c r="AB92" s="30">
        <v>11</v>
      </c>
      <c r="AC92" s="30" t="s">
        <v>177</v>
      </c>
      <c r="AD92" s="30" t="s">
        <v>178</v>
      </c>
      <c r="AE92" s="30" t="s">
        <v>18</v>
      </c>
      <c r="AF92" s="30" t="s">
        <v>16</v>
      </c>
      <c r="AG92" s="30" t="s">
        <v>77</v>
      </c>
      <c r="AH92" s="30" t="s">
        <v>7</v>
      </c>
      <c r="AI92" s="30"/>
    </row>
    <row r="93" spans="1:35" x14ac:dyDescent="0.3">
      <c r="A93" s="30">
        <v>101</v>
      </c>
      <c r="B93" s="30" t="s">
        <v>161</v>
      </c>
      <c r="C93" s="30" t="s">
        <v>18</v>
      </c>
      <c r="D93" s="31">
        <v>46142</v>
      </c>
      <c r="E93" s="30">
        <v>1319</v>
      </c>
      <c r="F93" s="30">
        <v>0</v>
      </c>
      <c r="G93" s="32">
        <v>5803546</v>
      </c>
      <c r="H93" s="30">
        <v>280612696</v>
      </c>
      <c r="I93" s="30" t="s">
        <v>381</v>
      </c>
      <c r="J93" s="30" t="s">
        <v>238</v>
      </c>
      <c r="K93" s="30" t="s">
        <v>239</v>
      </c>
      <c r="L93" s="30" t="s">
        <v>211</v>
      </c>
      <c r="M93" s="30" t="s">
        <v>212</v>
      </c>
      <c r="N93" s="30" t="s">
        <v>167</v>
      </c>
      <c r="O93" s="30">
        <v>5803546</v>
      </c>
      <c r="P93" s="30">
        <v>1</v>
      </c>
      <c r="Q93" s="30" t="s">
        <v>168</v>
      </c>
      <c r="R93" s="30" t="s">
        <v>169</v>
      </c>
      <c r="S93" s="30"/>
      <c r="T93" s="30"/>
      <c r="U93" s="30"/>
      <c r="V93" s="30" t="s">
        <v>172</v>
      </c>
      <c r="W93" s="30" t="s">
        <v>282</v>
      </c>
      <c r="X93" s="30" t="s">
        <v>228</v>
      </c>
      <c r="Y93" s="30" t="s">
        <v>377</v>
      </c>
      <c r="Z93" s="30">
        <v>5</v>
      </c>
      <c r="AA93" s="30" t="s">
        <v>197</v>
      </c>
      <c r="AB93" s="30">
        <v>11</v>
      </c>
      <c r="AC93" s="30" t="s">
        <v>177</v>
      </c>
      <c r="AD93" s="30" t="s">
        <v>178</v>
      </c>
      <c r="AE93" s="30" t="s">
        <v>18</v>
      </c>
      <c r="AF93" s="30" t="s">
        <v>61</v>
      </c>
      <c r="AG93" s="30" t="s">
        <v>68</v>
      </c>
      <c r="AH93" s="30" t="s">
        <v>7</v>
      </c>
      <c r="AI93" s="30"/>
    </row>
    <row r="94" spans="1:35" x14ac:dyDescent="0.3">
      <c r="A94" s="30">
        <v>102</v>
      </c>
      <c r="B94" s="30" t="s">
        <v>161</v>
      </c>
      <c r="C94" s="30" t="s">
        <v>18</v>
      </c>
      <c r="D94" s="31">
        <v>46142</v>
      </c>
      <c r="E94" s="30">
        <v>1319</v>
      </c>
      <c r="F94" s="30">
        <v>0</v>
      </c>
      <c r="G94" s="32">
        <v>635256</v>
      </c>
      <c r="H94" s="30">
        <v>281247952</v>
      </c>
      <c r="I94" s="30" t="s">
        <v>382</v>
      </c>
      <c r="J94" s="30" t="s">
        <v>332</v>
      </c>
      <c r="K94" s="30" t="s">
        <v>333</v>
      </c>
      <c r="L94" s="30" t="s">
        <v>211</v>
      </c>
      <c r="M94" s="30" t="s">
        <v>212</v>
      </c>
      <c r="N94" s="30" t="s">
        <v>167</v>
      </c>
      <c r="O94" s="30">
        <v>635256</v>
      </c>
      <c r="P94" s="30">
        <v>1</v>
      </c>
      <c r="Q94" s="30" t="s">
        <v>168</v>
      </c>
      <c r="R94" s="30" t="s">
        <v>169</v>
      </c>
      <c r="S94" s="30"/>
      <c r="T94" s="30"/>
      <c r="U94" s="30"/>
      <c r="V94" s="30" t="s">
        <v>172</v>
      </c>
      <c r="W94" s="30" t="s">
        <v>282</v>
      </c>
      <c r="X94" s="30" t="s">
        <v>228</v>
      </c>
      <c r="Y94" s="30" t="s">
        <v>377</v>
      </c>
      <c r="Z94" s="30">
        <v>6</v>
      </c>
      <c r="AA94" s="30" t="s">
        <v>197</v>
      </c>
      <c r="AB94" s="30">
        <v>11</v>
      </c>
      <c r="AC94" s="30" t="s">
        <v>177</v>
      </c>
      <c r="AD94" s="30" t="s">
        <v>178</v>
      </c>
      <c r="AE94" s="30" t="s">
        <v>18</v>
      </c>
      <c r="AF94" s="30" t="s">
        <v>61</v>
      </c>
      <c r="AG94" s="30" t="s">
        <v>69</v>
      </c>
      <c r="AH94" s="30" t="s">
        <v>7</v>
      </c>
      <c r="AI94" s="30" t="s">
        <v>121</v>
      </c>
    </row>
    <row r="95" spans="1:35" x14ac:dyDescent="0.3">
      <c r="A95" s="30">
        <v>103</v>
      </c>
      <c r="B95" s="30" t="s">
        <v>161</v>
      </c>
      <c r="C95" s="30" t="s">
        <v>18</v>
      </c>
      <c r="D95" s="31">
        <v>46142</v>
      </c>
      <c r="E95" s="30">
        <v>1319</v>
      </c>
      <c r="F95" s="30">
        <v>0</v>
      </c>
      <c r="G95" s="32">
        <v>25393862</v>
      </c>
      <c r="H95" s="30">
        <v>306641814</v>
      </c>
      <c r="I95" s="30" t="s">
        <v>383</v>
      </c>
      <c r="J95" s="30" t="s">
        <v>384</v>
      </c>
      <c r="K95" s="30" t="s">
        <v>385</v>
      </c>
      <c r="L95" s="30" t="s">
        <v>211</v>
      </c>
      <c r="M95" s="30" t="s">
        <v>212</v>
      </c>
      <c r="N95" s="30" t="s">
        <v>167</v>
      </c>
      <c r="O95" s="30">
        <v>25393862</v>
      </c>
      <c r="P95" s="30">
        <v>1</v>
      </c>
      <c r="Q95" s="30" t="s">
        <v>168</v>
      </c>
      <c r="R95" s="30" t="s">
        <v>169</v>
      </c>
      <c r="S95" s="30"/>
      <c r="T95" s="30"/>
      <c r="U95" s="30"/>
      <c r="V95" s="30" t="s">
        <v>172</v>
      </c>
      <c r="W95" s="30" t="s">
        <v>282</v>
      </c>
      <c r="X95" s="30" t="s">
        <v>228</v>
      </c>
      <c r="Y95" s="30" t="s">
        <v>377</v>
      </c>
      <c r="Z95" s="30">
        <v>7</v>
      </c>
      <c r="AA95" s="30" t="s">
        <v>197</v>
      </c>
      <c r="AB95" s="30">
        <v>11</v>
      </c>
      <c r="AC95" s="30" t="s">
        <v>177</v>
      </c>
      <c r="AD95" s="30" t="s">
        <v>178</v>
      </c>
      <c r="AE95" s="30" t="s">
        <v>18</v>
      </c>
      <c r="AF95" s="30" t="s">
        <v>61</v>
      </c>
      <c r="AG95" s="30" t="s">
        <v>71</v>
      </c>
      <c r="AH95" s="30" t="s">
        <v>7</v>
      </c>
      <c r="AI95" s="30" t="s">
        <v>126</v>
      </c>
    </row>
    <row r="96" spans="1:35" x14ac:dyDescent="0.3">
      <c r="A96" s="30">
        <v>104</v>
      </c>
      <c r="B96" s="30" t="s">
        <v>161</v>
      </c>
      <c r="C96" s="30" t="s">
        <v>18</v>
      </c>
      <c r="D96" s="31">
        <v>46142</v>
      </c>
      <c r="E96" s="30">
        <v>1319</v>
      </c>
      <c r="F96" s="30">
        <v>0</v>
      </c>
      <c r="G96" s="32">
        <v>447693</v>
      </c>
      <c r="H96" s="30">
        <v>307089507</v>
      </c>
      <c r="I96" s="30" t="s">
        <v>386</v>
      </c>
      <c r="J96" s="30" t="s">
        <v>387</v>
      </c>
      <c r="K96" s="30" t="s">
        <v>388</v>
      </c>
      <c r="L96" s="30" t="s">
        <v>211</v>
      </c>
      <c r="M96" s="30" t="s">
        <v>212</v>
      </c>
      <c r="N96" s="30" t="s">
        <v>167</v>
      </c>
      <c r="O96" s="30">
        <v>447693</v>
      </c>
      <c r="P96" s="30">
        <v>1</v>
      </c>
      <c r="Q96" s="30" t="s">
        <v>168</v>
      </c>
      <c r="R96" s="30" t="s">
        <v>169</v>
      </c>
      <c r="S96" s="30"/>
      <c r="T96" s="30"/>
      <c r="U96" s="30"/>
      <c r="V96" s="30" t="s">
        <v>172</v>
      </c>
      <c r="W96" s="30" t="s">
        <v>282</v>
      </c>
      <c r="X96" s="30" t="s">
        <v>228</v>
      </c>
      <c r="Y96" s="30" t="s">
        <v>377</v>
      </c>
      <c r="Z96" s="30">
        <v>8</v>
      </c>
      <c r="AA96" s="30" t="s">
        <v>197</v>
      </c>
      <c r="AB96" s="30">
        <v>11</v>
      </c>
      <c r="AC96" s="30" t="s">
        <v>177</v>
      </c>
      <c r="AD96" s="30" t="s">
        <v>178</v>
      </c>
      <c r="AE96" s="30" t="s">
        <v>18</v>
      </c>
      <c r="AF96" s="30" t="s">
        <v>61</v>
      </c>
      <c r="AG96" s="30" t="s">
        <v>63</v>
      </c>
      <c r="AH96" s="30" t="s">
        <v>7</v>
      </c>
      <c r="AI96" s="30" t="s">
        <v>125</v>
      </c>
    </row>
    <row r="97" spans="1:35" x14ac:dyDescent="0.3">
      <c r="A97" s="30">
        <v>1</v>
      </c>
      <c r="B97" s="30" t="s">
        <v>389</v>
      </c>
      <c r="C97" s="30" t="s">
        <v>19</v>
      </c>
      <c r="D97" s="31">
        <v>46023</v>
      </c>
      <c r="E97" s="30">
        <v>24</v>
      </c>
      <c r="F97" s="30">
        <v>0</v>
      </c>
      <c r="G97" s="32">
        <v>-232573202</v>
      </c>
      <c r="H97" s="30">
        <v>-232573202</v>
      </c>
      <c r="I97" s="30" t="s">
        <v>390</v>
      </c>
      <c r="J97" s="30" t="s">
        <v>163</v>
      </c>
      <c r="K97" s="30" t="s">
        <v>164</v>
      </c>
      <c r="L97" s="30" t="s">
        <v>203</v>
      </c>
      <c r="M97" s="30" t="s">
        <v>173</v>
      </c>
      <c r="N97" s="30" t="s">
        <v>167</v>
      </c>
      <c r="O97" s="30">
        <v>-232573202</v>
      </c>
      <c r="P97" s="30">
        <v>1</v>
      </c>
      <c r="Q97" s="30" t="s">
        <v>168</v>
      </c>
      <c r="R97" s="30" t="s">
        <v>169</v>
      </c>
      <c r="S97" s="30"/>
      <c r="T97" s="30"/>
      <c r="U97" s="30"/>
      <c r="V97" s="30" t="s">
        <v>172</v>
      </c>
      <c r="W97" s="30" t="s">
        <v>173</v>
      </c>
      <c r="X97" s="30" t="s">
        <v>174</v>
      </c>
      <c r="Y97" s="30" t="s">
        <v>391</v>
      </c>
      <c r="Z97" s="30">
        <v>2</v>
      </c>
      <c r="AA97" s="30" t="s">
        <v>337</v>
      </c>
      <c r="AB97" s="30">
        <v>13</v>
      </c>
      <c r="AC97" s="30" t="s">
        <v>338</v>
      </c>
      <c r="AD97" s="30" t="s">
        <v>178</v>
      </c>
      <c r="AE97" s="30" t="s">
        <v>19</v>
      </c>
      <c r="AF97" s="30" t="s">
        <v>99</v>
      </c>
      <c r="AG97" s="30" t="s">
        <v>37</v>
      </c>
      <c r="AH97" s="30" t="s">
        <v>4</v>
      </c>
      <c r="AI97" s="30" t="s">
        <v>111</v>
      </c>
    </row>
    <row r="98" spans="1:35" x14ac:dyDescent="0.3">
      <c r="A98" s="30">
        <v>2</v>
      </c>
      <c r="B98" s="30" t="s">
        <v>389</v>
      </c>
      <c r="C98" s="30" t="s">
        <v>19</v>
      </c>
      <c r="D98" s="31">
        <v>46023</v>
      </c>
      <c r="E98" s="30">
        <v>22</v>
      </c>
      <c r="F98" s="30">
        <v>0</v>
      </c>
      <c r="G98" s="32">
        <v>-232573202</v>
      </c>
      <c r="H98" s="30">
        <v>-465146404</v>
      </c>
      <c r="I98" s="30" t="s">
        <v>392</v>
      </c>
      <c r="J98" s="30" t="s">
        <v>163</v>
      </c>
      <c r="K98" s="30" t="s">
        <v>164</v>
      </c>
      <c r="L98" s="30" t="s">
        <v>203</v>
      </c>
      <c r="M98" s="30" t="s">
        <v>173</v>
      </c>
      <c r="N98" s="30" t="s">
        <v>167</v>
      </c>
      <c r="O98" s="30">
        <v>-232573202</v>
      </c>
      <c r="P98" s="30">
        <v>1</v>
      </c>
      <c r="Q98" s="30" t="s">
        <v>168</v>
      </c>
      <c r="R98" s="30" t="s">
        <v>169</v>
      </c>
      <c r="S98" s="30"/>
      <c r="T98" s="30"/>
      <c r="U98" s="30"/>
      <c r="V98" s="30" t="s">
        <v>172</v>
      </c>
      <c r="W98" s="30" t="s">
        <v>173</v>
      </c>
      <c r="X98" s="30" t="s">
        <v>174</v>
      </c>
      <c r="Y98" s="30" t="s">
        <v>393</v>
      </c>
      <c r="Z98" s="30">
        <v>2</v>
      </c>
      <c r="AA98" s="30" t="s">
        <v>337</v>
      </c>
      <c r="AB98" s="30">
        <v>13</v>
      </c>
      <c r="AC98" s="30" t="s">
        <v>338</v>
      </c>
      <c r="AD98" s="30" t="s">
        <v>178</v>
      </c>
      <c r="AE98" s="30" t="s">
        <v>19</v>
      </c>
      <c r="AF98" s="30" t="s">
        <v>99</v>
      </c>
      <c r="AG98" s="30" t="s">
        <v>37</v>
      </c>
      <c r="AH98" s="30" t="s">
        <v>4</v>
      </c>
      <c r="AI98" s="30" t="s">
        <v>111</v>
      </c>
    </row>
    <row r="99" spans="1:35" x14ac:dyDescent="0.3">
      <c r="A99" s="30">
        <v>3</v>
      </c>
      <c r="B99" s="30" t="s">
        <v>389</v>
      </c>
      <c r="C99" s="30" t="s">
        <v>19</v>
      </c>
      <c r="D99" s="31">
        <v>46023</v>
      </c>
      <c r="E99" s="30">
        <v>23</v>
      </c>
      <c r="F99" s="30">
        <v>0</v>
      </c>
      <c r="G99" s="32">
        <v>-232573202</v>
      </c>
      <c r="H99" s="30">
        <v>-697719606</v>
      </c>
      <c r="I99" s="30" t="s">
        <v>394</v>
      </c>
      <c r="J99" s="30" t="s">
        <v>163</v>
      </c>
      <c r="K99" s="30" t="s">
        <v>164</v>
      </c>
      <c r="L99" s="30" t="s">
        <v>203</v>
      </c>
      <c r="M99" s="30" t="s">
        <v>173</v>
      </c>
      <c r="N99" s="30" t="s">
        <v>167</v>
      </c>
      <c r="O99" s="30">
        <v>-232573202</v>
      </c>
      <c r="P99" s="30">
        <v>1</v>
      </c>
      <c r="Q99" s="30" t="s">
        <v>168</v>
      </c>
      <c r="R99" s="30" t="s">
        <v>169</v>
      </c>
      <c r="S99" s="30"/>
      <c r="T99" s="30"/>
      <c r="U99" s="30"/>
      <c r="V99" s="30" t="s">
        <v>172</v>
      </c>
      <c r="W99" s="30" t="s">
        <v>173</v>
      </c>
      <c r="X99" s="30" t="s">
        <v>174</v>
      </c>
      <c r="Y99" s="30" t="s">
        <v>395</v>
      </c>
      <c r="Z99" s="30">
        <v>2</v>
      </c>
      <c r="AA99" s="30" t="s">
        <v>337</v>
      </c>
      <c r="AB99" s="30">
        <v>13</v>
      </c>
      <c r="AC99" s="30" t="s">
        <v>338</v>
      </c>
      <c r="AD99" s="30" t="s">
        <v>178</v>
      </c>
      <c r="AE99" s="30" t="s">
        <v>19</v>
      </c>
      <c r="AF99" s="30" t="s">
        <v>99</v>
      </c>
      <c r="AG99" s="30" t="s">
        <v>37</v>
      </c>
      <c r="AH99" s="30" t="s">
        <v>4</v>
      </c>
      <c r="AI99" s="30" t="s">
        <v>111</v>
      </c>
    </row>
    <row r="100" spans="1:35" x14ac:dyDescent="0.3">
      <c r="A100" s="30">
        <v>4</v>
      </c>
      <c r="B100" s="30" t="s">
        <v>389</v>
      </c>
      <c r="C100" s="30" t="s">
        <v>19</v>
      </c>
      <c r="D100" s="31">
        <v>46023</v>
      </c>
      <c r="E100" s="30">
        <v>25</v>
      </c>
      <c r="F100" s="30">
        <v>0</v>
      </c>
      <c r="G100" s="32">
        <v>-827497</v>
      </c>
      <c r="H100" s="30">
        <v>-698547103</v>
      </c>
      <c r="I100" s="30" t="s">
        <v>396</v>
      </c>
      <c r="J100" s="30" t="s">
        <v>387</v>
      </c>
      <c r="K100" s="30" t="s">
        <v>388</v>
      </c>
      <c r="L100" s="30" t="s">
        <v>203</v>
      </c>
      <c r="M100" s="30" t="s">
        <v>173</v>
      </c>
      <c r="N100" s="30" t="s">
        <v>397</v>
      </c>
      <c r="O100" s="30">
        <v>-597.35</v>
      </c>
      <c r="P100" s="30">
        <v>1385.28</v>
      </c>
      <c r="Q100" s="30" t="s">
        <v>398</v>
      </c>
      <c r="R100" s="30" t="s">
        <v>53</v>
      </c>
      <c r="S100" s="30"/>
      <c r="T100" s="30"/>
      <c r="U100" s="30"/>
      <c r="V100" s="30" t="s">
        <v>172</v>
      </c>
      <c r="W100" s="30" t="s">
        <v>173</v>
      </c>
      <c r="X100" s="30" t="s">
        <v>174</v>
      </c>
      <c r="Y100" s="30" t="s">
        <v>399</v>
      </c>
      <c r="Z100" s="30">
        <v>2</v>
      </c>
      <c r="AA100" s="30" t="s">
        <v>337</v>
      </c>
      <c r="AB100" s="30">
        <v>13</v>
      </c>
      <c r="AC100" s="30" t="s">
        <v>338</v>
      </c>
      <c r="AD100" s="30" t="s">
        <v>178</v>
      </c>
      <c r="AE100" s="30" t="s">
        <v>19</v>
      </c>
      <c r="AF100" s="30" t="s">
        <v>99</v>
      </c>
      <c r="AG100" s="30" t="s">
        <v>105</v>
      </c>
      <c r="AH100" s="30" t="s">
        <v>4</v>
      </c>
      <c r="AI100" s="30" t="s">
        <v>106</v>
      </c>
    </row>
    <row r="101" spans="1:35" x14ac:dyDescent="0.3">
      <c r="A101" s="30">
        <v>5</v>
      </c>
      <c r="B101" s="30" t="s">
        <v>389</v>
      </c>
      <c r="C101" s="30" t="s">
        <v>19</v>
      </c>
      <c r="D101" s="31">
        <v>46023</v>
      </c>
      <c r="E101" s="30">
        <v>25</v>
      </c>
      <c r="F101" s="30">
        <v>0</v>
      </c>
      <c r="G101" s="32">
        <v>-827497</v>
      </c>
      <c r="H101" s="30">
        <v>-699374600</v>
      </c>
      <c r="I101" s="30" t="s">
        <v>400</v>
      </c>
      <c r="J101" s="30" t="s">
        <v>387</v>
      </c>
      <c r="K101" s="30" t="s">
        <v>388</v>
      </c>
      <c r="L101" s="30" t="s">
        <v>203</v>
      </c>
      <c r="M101" s="30" t="s">
        <v>173</v>
      </c>
      <c r="N101" s="30" t="s">
        <v>397</v>
      </c>
      <c r="O101" s="30">
        <v>-597.35</v>
      </c>
      <c r="P101" s="30">
        <v>1385.28</v>
      </c>
      <c r="Q101" s="30" t="s">
        <v>398</v>
      </c>
      <c r="R101" s="30" t="s">
        <v>53</v>
      </c>
      <c r="S101" s="30"/>
      <c r="T101" s="30"/>
      <c r="U101" s="30"/>
      <c r="V101" s="30" t="s">
        <v>172</v>
      </c>
      <c r="W101" s="30" t="s">
        <v>173</v>
      </c>
      <c r="X101" s="30" t="s">
        <v>174</v>
      </c>
      <c r="Y101" s="30" t="s">
        <v>399</v>
      </c>
      <c r="Z101" s="30">
        <v>4</v>
      </c>
      <c r="AA101" s="30" t="s">
        <v>337</v>
      </c>
      <c r="AB101" s="30">
        <v>13</v>
      </c>
      <c r="AC101" s="30" t="s">
        <v>338</v>
      </c>
      <c r="AD101" s="30" t="s">
        <v>178</v>
      </c>
      <c r="AE101" s="30" t="s">
        <v>19</v>
      </c>
      <c r="AF101" s="30" t="s">
        <v>99</v>
      </c>
      <c r="AG101" s="30" t="s">
        <v>105</v>
      </c>
      <c r="AH101" s="30" t="s">
        <v>4</v>
      </c>
      <c r="AI101" s="30" t="s">
        <v>106</v>
      </c>
    </row>
    <row r="102" spans="1:35" x14ac:dyDescent="0.3">
      <c r="A102" s="30">
        <v>6</v>
      </c>
      <c r="B102" s="30" t="s">
        <v>389</v>
      </c>
      <c r="C102" s="30" t="s">
        <v>19</v>
      </c>
      <c r="D102" s="31">
        <v>46023</v>
      </c>
      <c r="E102" s="30">
        <v>26</v>
      </c>
      <c r="F102" s="30">
        <v>0</v>
      </c>
      <c r="G102" s="32">
        <v>-827497</v>
      </c>
      <c r="H102" s="30">
        <v>-700202097</v>
      </c>
      <c r="I102" s="30" t="s">
        <v>401</v>
      </c>
      <c r="J102" s="30" t="s">
        <v>387</v>
      </c>
      <c r="K102" s="30" t="s">
        <v>388</v>
      </c>
      <c r="L102" s="30" t="s">
        <v>203</v>
      </c>
      <c r="M102" s="30" t="s">
        <v>173</v>
      </c>
      <c r="N102" s="30" t="s">
        <v>397</v>
      </c>
      <c r="O102" s="30">
        <v>-597.35</v>
      </c>
      <c r="P102" s="30">
        <v>1385.28</v>
      </c>
      <c r="Q102" s="30" t="s">
        <v>168</v>
      </c>
      <c r="R102" s="30" t="s">
        <v>169</v>
      </c>
      <c r="S102" s="30"/>
      <c r="T102" s="30"/>
      <c r="U102" s="30"/>
      <c r="V102" s="30" t="s">
        <v>172</v>
      </c>
      <c r="W102" s="30" t="s">
        <v>173</v>
      </c>
      <c r="X102" s="30" t="s">
        <v>174</v>
      </c>
      <c r="Y102" s="30" t="s">
        <v>402</v>
      </c>
      <c r="Z102" s="30">
        <v>2</v>
      </c>
      <c r="AA102" s="30" t="s">
        <v>337</v>
      </c>
      <c r="AB102" s="30">
        <v>13</v>
      </c>
      <c r="AC102" s="30" t="s">
        <v>338</v>
      </c>
      <c r="AD102" s="30" t="s">
        <v>178</v>
      </c>
      <c r="AE102" s="30" t="s">
        <v>19</v>
      </c>
      <c r="AF102" s="30" t="s">
        <v>99</v>
      </c>
      <c r="AG102" s="30" t="s">
        <v>105</v>
      </c>
      <c r="AH102" s="30" t="s">
        <v>4</v>
      </c>
      <c r="AI102" s="30" t="s">
        <v>106</v>
      </c>
    </row>
    <row r="103" spans="1:35" x14ac:dyDescent="0.3">
      <c r="A103" s="30">
        <v>7</v>
      </c>
      <c r="B103" s="30" t="s">
        <v>389</v>
      </c>
      <c r="C103" s="30" t="s">
        <v>19</v>
      </c>
      <c r="D103" s="31">
        <v>46047</v>
      </c>
      <c r="E103" s="30">
        <v>7</v>
      </c>
      <c r="F103" s="30">
        <v>0</v>
      </c>
      <c r="G103" s="32">
        <v>653340215</v>
      </c>
      <c r="H103" s="30">
        <v>-46861882</v>
      </c>
      <c r="I103" s="30" t="s">
        <v>403</v>
      </c>
      <c r="J103" s="30" t="s">
        <v>163</v>
      </c>
      <c r="K103" s="30" t="s">
        <v>164</v>
      </c>
      <c r="L103" s="30" t="s">
        <v>211</v>
      </c>
      <c r="M103" s="30" t="s">
        <v>212</v>
      </c>
      <c r="N103" s="30" t="s">
        <v>167</v>
      </c>
      <c r="O103" s="30">
        <v>653340215</v>
      </c>
      <c r="P103" s="30">
        <v>1</v>
      </c>
      <c r="Q103" s="30" t="s">
        <v>168</v>
      </c>
      <c r="R103" s="30" t="s">
        <v>169</v>
      </c>
      <c r="S103" s="30" t="s">
        <v>170</v>
      </c>
      <c r="T103" s="30" t="s">
        <v>171</v>
      </c>
      <c r="U103" s="30" t="s">
        <v>19</v>
      </c>
      <c r="V103" s="30" t="s">
        <v>172</v>
      </c>
      <c r="W103" s="30" t="s">
        <v>173</v>
      </c>
      <c r="X103" s="30" t="s">
        <v>174</v>
      </c>
      <c r="Y103" s="30" t="s">
        <v>404</v>
      </c>
      <c r="Z103" s="30">
        <v>1</v>
      </c>
      <c r="AA103" s="30" t="s">
        <v>176</v>
      </c>
      <c r="AB103" s="30">
        <v>11</v>
      </c>
      <c r="AC103" s="30" t="s">
        <v>177</v>
      </c>
      <c r="AD103" s="30" t="s">
        <v>178</v>
      </c>
      <c r="AE103" s="30" t="s">
        <v>19</v>
      </c>
      <c r="AF103" s="30" t="s">
        <v>99</v>
      </c>
      <c r="AG103" s="30" t="s">
        <v>37</v>
      </c>
      <c r="AH103" s="30" t="s">
        <v>4</v>
      </c>
      <c r="AI103" s="30" t="s">
        <v>111</v>
      </c>
    </row>
    <row r="104" spans="1:35" x14ac:dyDescent="0.3">
      <c r="A104" s="30">
        <v>8</v>
      </c>
      <c r="B104" s="30" t="s">
        <v>389</v>
      </c>
      <c r="C104" s="30" t="s">
        <v>19</v>
      </c>
      <c r="D104" s="31">
        <v>46047</v>
      </c>
      <c r="E104" s="30">
        <v>8</v>
      </c>
      <c r="F104" s="30">
        <v>0</v>
      </c>
      <c r="G104" s="32">
        <v>4583869</v>
      </c>
      <c r="H104" s="30">
        <v>-42278013</v>
      </c>
      <c r="I104" s="30" t="s">
        <v>405</v>
      </c>
      <c r="J104" s="30" t="s">
        <v>180</v>
      </c>
      <c r="K104" s="30" t="s">
        <v>181</v>
      </c>
      <c r="L104" s="30" t="s">
        <v>211</v>
      </c>
      <c r="M104" s="30" t="s">
        <v>212</v>
      </c>
      <c r="N104" s="30" t="s">
        <v>167</v>
      </c>
      <c r="O104" s="30">
        <v>4583869</v>
      </c>
      <c r="P104" s="30">
        <v>1</v>
      </c>
      <c r="Q104" s="30" t="s">
        <v>168</v>
      </c>
      <c r="R104" s="30" t="s">
        <v>169</v>
      </c>
      <c r="S104" s="30" t="s">
        <v>170</v>
      </c>
      <c r="T104" s="30" t="s">
        <v>171</v>
      </c>
      <c r="U104" s="30" t="s">
        <v>19</v>
      </c>
      <c r="V104" s="30" t="s">
        <v>172</v>
      </c>
      <c r="W104" s="30" t="s">
        <v>173</v>
      </c>
      <c r="X104" s="30" t="s">
        <v>174</v>
      </c>
      <c r="Y104" s="30" t="s">
        <v>406</v>
      </c>
      <c r="Z104" s="30">
        <v>1</v>
      </c>
      <c r="AA104" s="30" t="s">
        <v>176</v>
      </c>
      <c r="AB104" s="30">
        <v>11</v>
      </c>
      <c r="AC104" s="30" t="s">
        <v>177</v>
      </c>
      <c r="AD104" s="30" t="s">
        <v>178</v>
      </c>
      <c r="AE104" s="30" t="s">
        <v>19</v>
      </c>
      <c r="AF104" s="30" t="s">
        <v>99</v>
      </c>
      <c r="AG104" s="30" t="s">
        <v>36</v>
      </c>
      <c r="AH104" s="30" t="s">
        <v>4</v>
      </c>
      <c r="AI104" s="30"/>
    </row>
    <row r="105" spans="1:35" x14ac:dyDescent="0.3">
      <c r="A105" s="30">
        <v>9</v>
      </c>
      <c r="B105" s="30" t="s">
        <v>389</v>
      </c>
      <c r="C105" s="30" t="s">
        <v>19</v>
      </c>
      <c r="D105" s="31">
        <v>46047</v>
      </c>
      <c r="E105" s="30">
        <v>9</v>
      </c>
      <c r="F105" s="30">
        <v>0</v>
      </c>
      <c r="G105" s="32">
        <v>7163155</v>
      </c>
      <c r="H105" s="30">
        <v>-35114858</v>
      </c>
      <c r="I105" s="30" t="s">
        <v>407</v>
      </c>
      <c r="J105" s="30" t="s">
        <v>387</v>
      </c>
      <c r="K105" s="30" t="s">
        <v>388</v>
      </c>
      <c r="L105" s="30" t="s">
        <v>211</v>
      </c>
      <c r="M105" s="30" t="s">
        <v>212</v>
      </c>
      <c r="N105" s="30" t="s">
        <v>397</v>
      </c>
      <c r="O105" s="30">
        <v>4936.7700000000004</v>
      </c>
      <c r="P105" s="30">
        <v>1450.98</v>
      </c>
      <c r="Q105" s="30" t="s">
        <v>398</v>
      </c>
      <c r="R105" s="30" t="s">
        <v>53</v>
      </c>
      <c r="S105" s="30" t="s">
        <v>321</v>
      </c>
      <c r="T105" s="30" t="s">
        <v>171</v>
      </c>
      <c r="U105" s="30" t="s">
        <v>19</v>
      </c>
      <c r="V105" s="30" t="s">
        <v>172</v>
      </c>
      <c r="W105" s="30" t="s">
        <v>173</v>
      </c>
      <c r="X105" s="30" t="s">
        <v>174</v>
      </c>
      <c r="Y105" s="30" t="s">
        <v>408</v>
      </c>
      <c r="Z105" s="30">
        <v>1</v>
      </c>
      <c r="AA105" s="30" t="s">
        <v>176</v>
      </c>
      <c r="AB105" s="30">
        <v>11</v>
      </c>
      <c r="AC105" s="30" t="s">
        <v>177</v>
      </c>
      <c r="AD105" s="30" t="s">
        <v>178</v>
      </c>
      <c r="AE105" s="30" t="s">
        <v>19</v>
      </c>
      <c r="AF105" s="30" t="s">
        <v>99</v>
      </c>
      <c r="AG105" s="30" t="s">
        <v>105</v>
      </c>
      <c r="AH105" s="30" t="s">
        <v>4</v>
      </c>
      <c r="AI105" s="30" t="s">
        <v>106</v>
      </c>
    </row>
    <row r="106" spans="1:35" x14ac:dyDescent="0.3">
      <c r="A106" s="30">
        <v>10</v>
      </c>
      <c r="B106" s="30" t="s">
        <v>389</v>
      </c>
      <c r="C106" s="30" t="s">
        <v>19</v>
      </c>
      <c r="D106" s="31">
        <v>46047</v>
      </c>
      <c r="E106" s="30">
        <v>10</v>
      </c>
      <c r="F106" s="30">
        <v>0</v>
      </c>
      <c r="G106" s="32">
        <v>85428203</v>
      </c>
      <c r="H106" s="30">
        <v>50313345</v>
      </c>
      <c r="I106" s="30" t="s">
        <v>409</v>
      </c>
      <c r="J106" s="30" t="s">
        <v>410</v>
      </c>
      <c r="K106" s="30" t="s">
        <v>411</v>
      </c>
      <c r="L106" s="30" t="s">
        <v>211</v>
      </c>
      <c r="M106" s="30" t="s">
        <v>212</v>
      </c>
      <c r="N106" s="30" t="s">
        <v>397</v>
      </c>
      <c r="O106" s="30">
        <v>58876.21</v>
      </c>
      <c r="P106" s="30">
        <v>1450.98</v>
      </c>
      <c r="Q106" s="30" t="s">
        <v>412</v>
      </c>
      <c r="R106" s="30" t="s">
        <v>413</v>
      </c>
      <c r="S106" s="30" t="s">
        <v>321</v>
      </c>
      <c r="T106" s="30" t="s">
        <v>171</v>
      </c>
      <c r="U106" s="30" t="s">
        <v>19</v>
      </c>
      <c r="V106" s="30" t="s">
        <v>172</v>
      </c>
      <c r="W106" s="30" t="s">
        <v>173</v>
      </c>
      <c r="X106" s="30" t="s">
        <v>174</v>
      </c>
      <c r="Y106" s="30" t="s">
        <v>414</v>
      </c>
      <c r="Z106" s="30">
        <v>1</v>
      </c>
      <c r="AA106" s="30" t="s">
        <v>176</v>
      </c>
      <c r="AB106" s="30">
        <v>11</v>
      </c>
      <c r="AC106" s="30" t="s">
        <v>177</v>
      </c>
      <c r="AD106" s="30" t="s">
        <v>178</v>
      </c>
      <c r="AE106" s="30" t="s">
        <v>19</v>
      </c>
      <c r="AF106" s="30" t="s">
        <v>99</v>
      </c>
      <c r="AG106" s="30" t="s">
        <v>103</v>
      </c>
      <c r="AH106" s="30" t="s">
        <v>4</v>
      </c>
      <c r="AI106" s="30"/>
    </row>
    <row r="107" spans="1:35" x14ac:dyDescent="0.3">
      <c r="A107" s="30">
        <v>11</v>
      </c>
      <c r="B107" s="30" t="s">
        <v>389</v>
      </c>
      <c r="C107" s="30" t="s">
        <v>19</v>
      </c>
      <c r="D107" s="31">
        <v>46053</v>
      </c>
      <c r="E107" s="30">
        <v>347</v>
      </c>
      <c r="F107" s="30">
        <v>0</v>
      </c>
      <c r="G107" s="32">
        <v>56102</v>
      </c>
      <c r="H107" s="30">
        <v>50369447</v>
      </c>
      <c r="I107" s="30" t="s">
        <v>415</v>
      </c>
      <c r="J107" s="30" t="s">
        <v>192</v>
      </c>
      <c r="K107" s="30" t="s">
        <v>193</v>
      </c>
      <c r="L107" s="30" t="s">
        <v>226</v>
      </c>
      <c r="M107" s="30" t="s">
        <v>227</v>
      </c>
      <c r="N107" s="30" t="s">
        <v>167</v>
      </c>
      <c r="O107" s="30">
        <v>56102</v>
      </c>
      <c r="P107" s="30">
        <v>1</v>
      </c>
      <c r="Q107" s="30" t="s">
        <v>168</v>
      </c>
      <c r="R107" s="30" t="s">
        <v>169</v>
      </c>
      <c r="S107" s="30" t="s">
        <v>170</v>
      </c>
      <c r="T107" s="30" t="s">
        <v>171</v>
      </c>
      <c r="U107" s="30" t="s">
        <v>19</v>
      </c>
      <c r="V107" s="30" t="s">
        <v>172</v>
      </c>
      <c r="W107" s="30" t="s">
        <v>173</v>
      </c>
      <c r="X107" s="30" t="s">
        <v>174</v>
      </c>
      <c r="Y107" s="30" t="s">
        <v>416</v>
      </c>
      <c r="Z107" s="30">
        <v>1</v>
      </c>
      <c r="AA107" s="30" t="s">
        <v>176</v>
      </c>
      <c r="AB107" s="30">
        <v>11</v>
      </c>
      <c r="AC107" s="30" t="s">
        <v>177</v>
      </c>
      <c r="AD107" s="30" t="s">
        <v>178</v>
      </c>
      <c r="AE107" s="30" t="s">
        <v>19</v>
      </c>
      <c r="AF107" s="30" t="s">
        <v>99</v>
      </c>
      <c r="AG107" s="30" t="s">
        <v>109</v>
      </c>
      <c r="AH107" s="30" t="s">
        <v>4</v>
      </c>
      <c r="AI107" s="30"/>
    </row>
    <row r="108" spans="1:35" x14ac:dyDescent="0.3">
      <c r="A108" s="30">
        <v>12</v>
      </c>
      <c r="B108" s="30" t="s">
        <v>389</v>
      </c>
      <c r="C108" s="30" t="s">
        <v>19</v>
      </c>
      <c r="D108" s="31">
        <v>46053</v>
      </c>
      <c r="E108" s="30">
        <v>348</v>
      </c>
      <c r="F108" s="30">
        <v>0</v>
      </c>
      <c r="G108" s="32">
        <v>500000</v>
      </c>
      <c r="H108" s="30">
        <v>50869447</v>
      </c>
      <c r="I108" s="30" t="s">
        <v>417</v>
      </c>
      <c r="J108" s="30" t="s">
        <v>199</v>
      </c>
      <c r="K108" s="30" t="s">
        <v>200</v>
      </c>
      <c r="L108" s="30" t="s">
        <v>203</v>
      </c>
      <c r="M108" s="30" t="s">
        <v>173</v>
      </c>
      <c r="N108" s="30" t="s">
        <v>167</v>
      </c>
      <c r="O108" s="30">
        <v>500000</v>
      </c>
      <c r="P108" s="30">
        <v>1</v>
      </c>
      <c r="Q108" s="30" t="s">
        <v>168</v>
      </c>
      <c r="R108" s="30" t="s">
        <v>169</v>
      </c>
      <c r="S108" s="30" t="s">
        <v>170</v>
      </c>
      <c r="T108" s="30" t="s">
        <v>171</v>
      </c>
      <c r="U108" s="30" t="s">
        <v>19</v>
      </c>
      <c r="V108" s="30" t="s">
        <v>172</v>
      </c>
      <c r="W108" s="30" t="s">
        <v>173</v>
      </c>
      <c r="X108" s="30" t="s">
        <v>174</v>
      </c>
      <c r="Y108" s="30" t="s">
        <v>418</v>
      </c>
      <c r="Z108" s="30">
        <v>1</v>
      </c>
      <c r="AA108" s="30" t="s">
        <v>176</v>
      </c>
      <c r="AB108" s="30">
        <v>11</v>
      </c>
      <c r="AC108" s="30" t="s">
        <v>177</v>
      </c>
      <c r="AD108" s="30" t="s">
        <v>178</v>
      </c>
      <c r="AE108" s="30" t="s">
        <v>19</v>
      </c>
      <c r="AF108" s="30" t="s">
        <v>99</v>
      </c>
      <c r="AG108" s="30" t="s">
        <v>107</v>
      </c>
      <c r="AH108" s="30" t="s">
        <v>4</v>
      </c>
      <c r="AI108" s="30" t="s">
        <v>108</v>
      </c>
    </row>
    <row r="109" spans="1:35" x14ac:dyDescent="0.3">
      <c r="A109" s="30">
        <v>13</v>
      </c>
      <c r="B109" s="30" t="s">
        <v>389</v>
      </c>
      <c r="C109" s="30" t="s">
        <v>19</v>
      </c>
      <c r="D109" s="31">
        <v>46053</v>
      </c>
      <c r="E109" s="30">
        <v>349</v>
      </c>
      <c r="F109" s="30">
        <v>0</v>
      </c>
      <c r="G109" s="32">
        <v>24560025</v>
      </c>
      <c r="H109" s="30">
        <v>75429472</v>
      </c>
      <c r="I109" s="30" t="s">
        <v>419</v>
      </c>
      <c r="J109" s="30" t="s">
        <v>199</v>
      </c>
      <c r="K109" s="30" t="s">
        <v>200</v>
      </c>
      <c r="L109" s="30" t="s">
        <v>203</v>
      </c>
      <c r="M109" s="30" t="s">
        <v>173</v>
      </c>
      <c r="N109" s="30" t="s">
        <v>167</v>
      </c>
      <c r="O109" s="30">
        <v>24560025</v>
      </c>
      <c r="P109" s="30">
        <v>1</v>
      </c>
      <c r="Q109" s="30" t="s">
        <v>168</v>
      </c>
      <c r="R109" s="30" t="s">
        <v>169</v>
      </c>
      <c r="S109" s="30" t="s">
        <v>170</v>
      </c>
      <c r="T109" s="30" t="s">
        <v>171</v>
      </c>
      <c r="U109" s="30" t="s">
        <v>19</v>
      </c>
      <c r="V109" s="30" t="s">
        <v>172</v>
      </c>
      <c r="W109" s="30" t="s">
        <v>173</v>
      </c>
      <c r="X109" s="30" t="s">
        <v>174</v>
      </c>
      <c r="Y109" s="30" t="s">
        <v>420</v>
      </c>
      <c r="Z109" s="30">
        <v>1</v>
      </c>
      <c r="AA109" s="30" t="s">
        <v>176</v>
      </c>
      <c r="AB109" s="30">
        <v>11</v>
      </c>
      <c r="AC109" s="30" t="s">
        <v>177</v>
      </c>
      <c r="AD109" s="30" t="s">
        <v>178</v>
      </c>
      <c r="AE109" s="30" t="s">
        <v>19</v>
      </c>
      <c r="AF109" s="30" t="s">
        <v>99</v>
      </c>
      <c r="AG109" s="30" t="s">
        <v>107</v>
      </c>
      <c r="AH109" s="30" t="s">
        <v>4</v>
      </c>
      <c r="AI109" s="30" t="s">
        <v>108</v>
      </c>
    </row>
    <row r="110" spans="1:35" x14ac:dyDescent="0.3">
      <c r="A110" s="30">
        <v>14</v>
      </c>
      <c r="B110" s="30" t="s">
        <v>389</v>
      </c>
      <c r="C110" s="30" t="s">
        <v>19</v>
      </c>
      <c r="D110" s="31">
        <v>46053</v>
      </c>
      <c r="E110" s="30">
        <v>362</v>
      </c>
      <c r="F110" s="30">
        <v>0</v>
      </c>
      <c r="G110" s="32">
        <v>217780072</v>
      </c>
      <c r="H110" s="30">
        <v>293209544</v>
      </c>
      <c r="I110" s="30" t="s">
        <v>421</v>
      </c>
      <c r="J110" s="30" t="s">
        <v>163</v>
      </c>
      <c r="K110" s="30" t="s">
        <v>164</v>
      </c>
      <c r="L110" s="30" t="s">
        <v>203</v>
      </c>
      <c r="M110" s="30" t="s">
        <v>173</v>
      </c>
      <c r="N110" s="30" t="s">
        <v>167</v>
      </c>
      <c r="O110" s="30">
        <v>217780072</v>
      </c>
      <c r="P110" s="30">
        <v>1</v>
      </c>
      <c r="Q110" s="30" t="s">
        <v>168</v>
      </c>
      <c r="R110" s="30" t="s">
        <v>169</v>
      </c>
      <c r="S110" s="30"/>
      <c r="T110" s="30"/>
      <c r="U110" s="30"/>
      <c r="V110" s="30" t="s">
        <v>172</v>
      </c>
      <c r="W110" s="30" t="s">
        <v>173</v>
      </c>
      <c r="X110" s="30" t="s">
        <v>174</v>
      </c>
      <c r="Y110" s="30" t="s">
        <v>422</v>
      </c>
      <c r="Z110" s="30">
        <v>2</v>
      </c>
      <c r="AA110" s="30" t="s">
        <v>197</v>
      </c>
      <c r="AB110" s="30">
        <v>12</v>
      </c>
      <c r="AC110" s="30" t="s">
        <v>205</v>
      </c>
      <c r="AD110" s="30" t="s">
        <v>178</v>
      </c>
      <c r="AE110" s="30" t="s">
        <v>19</v>
      </c>
      <c r="AF110" s="30" t="s">
        <v>99</v>
      </c>
      <c r="AG110" s="30" t="s">
        <v>37</v>
      </c>
      <c r="AH110" s="30" t="s">
        <v>4</v>
      </c>
      <c r="AI110" s="30" t="s">
        <v>111</v>
      </c>
    </row>
    <row r="111" spans="1:35" x14ac:dyDescent="0.3">
      <c r="A111" s="30">
        <v>15</v>
      </c>
      <c r="B111" s="30" t="s">
        <v>389</v>
      </c>
      <c r="C111" s="30" t="s">
        <v>19</v>
      </c>
      <c r="D111" s="31">
        <v>46053</v>
      </c>
      <c r="E111" s="30">
        <v>361</v>
      </c>
      <c r="F111" s="30">
        <v>0</v>
      </c>
      <c r="G111" s="32">
        <v>1527956</v>
      </c>
      <c r="H111" s="30">
        <v>294737500</v>
      </c>
      <c r="I111" s="30" t="s">
        <v>423</v>
      </c>
      <c r="J111" s="30" t="s">
        <v>180</v>
      </c>
      <c r="K111" s="30" t="s">
        <v>181</v>
      </c>
      <c r="L111" s="30" t="s">
        <v>203</v>
      </c>
      <c r="M111" s="30" t="s">
        <v>173</v>
      </c>
      <c r="N111" s="30" t="s">
        <v>167</v>
      </c>
      <c r="O111" s="30">
        <v>1527956</v>
      </c>
      <c r="P111" s="30">
        <v>1</v>
      </c>
      <c r="Q111" s="30" t="s">
        <v>168</v>
      </c>
      <c r="R111" s="30" t="s">
        <v>169</v>
      </c>
      <c r="S111" s="30"/>
      <c r="T111" s="30"/>
      <c r="U111" s="30"/>
      <c r="V111" s="30" t="s">
        <v>172</v>
      </c>
      <c r="W111" s="30" t="s">
        <v>173</v>
      </c>
      <c r="X111" s="30" t="s">
        <v>174</v>
      </c>
      <c r="Y111" s="30" t="s">
        <v>424</v>
      </c>
      <c r="Z111" s="30">
        <v>1</v>
      </c>
      <c r="AA111" s="30" t="s">
        <v>197</v>
      </c>
      <c r="AB111" s="30">
        <v>12</v>
      </c>
      <c r="AC111" s="30" t="s">
        <v>205</v>
      </c>
      <c r="AD111" s="30" t="s">
        <v>178</v>
      </c>
      <c r="AE111" s="30" t="s">
        <v>19</v>
      </c>
      <c r="AF111" s="30" t="s">
        <v>99</v>
      </c>
      <c r="AG111" s="30" t="s">
        <v>36</v>
      </c>
      <c r="AH111" s="30" t="s">
        <v>4</v>
      </c>
      <c r="AI111" s="30"/>
    </row>
    <row r="112" spans="1:35" x14ac:dyDescent="0.3">
      <c r="A112" s="30">
        <v>16</v>
      </c>
      <c r="B112" s="30" t="s">
        <v>389</v>
      </c>
      <c r="C112" s="30" t="s">
        <v>19</v>
      </c>
      <c r="D112" s="31">
        <v>46053</v>
      </c>
      <c r="E112" s="30">
        <v>383</v>
      </c>
      <c r="F112" s="30">
        <v>0</v>
      </c>
      <c r="G112" s="32">
        <v>2387716</v>
      </c>
      <c r="H112" s="30">
        <v>297125216</v>
      </c>
      <c r="I112" s="30" t="s">
        <v>425</v>
      </c>
      <c r="J112" s="30" t="s">
        <v>387</v>
      </c>
      <c r="K112" s="30" t="s">
        <v>388</v>
      </c>
      <c r="L112" s="30" t="s">
        <v>203</v>
      </c>
      <c r="M112" s="30" t="s">
        <v>173</v>
      </c>
      <c r="N112" s="30" t="s">
        <v>397</v>
      </c>
      <c r="O112" s="30">
        <v>1645.59</v>
      </c>
      <c r="P112" s="30">
        <v>1450.98</v>
      </c>
      <c r="Q112" s="30" t="s">
        <v>168</v>
      </c>
      <c r="R112" s="30" t="s">
        <v>169</v>
      </c>
      <c r="S112" s="30"/>
      <c r="T112" s="30"/>
      <c r="U112" s="30"/>
      <c r="V112" s="30" t="s">
        <v>172</v>
      </c>
      <c r="W112" s="30" t="s">
        <v>173</v>
      </c>
      <c r="X112" s="30" t="s">
        <v>174</v>
      </c>
      <c r="Y112" s="30" t="s">
        <v>426</v>
      </c>
      <c r="Z112" s="30">
        <v>2</v>
      </c>
      <c r="AA112" s="30" t="s">
        <v>197</v>
      </c>
      <c r="AB112" s="30">
        <v>12</v>
      </c>
      <c r="AC112" s="30" t="s">
        <v>205</v>
      </c>
      <c r="AD112" s="30" t="s">
        <v>178</v>
      </c>
      <c r="AE112" s="30" t="s">
        <v>19</v>
      </c>
      <c r="AF112" s="30" t="s">
        <v>99</v>
      </c>
      <c r="AG112" s="30" t="s">
        <v>105</v>
      </c>
      <c r="AH112" s="30" t="s">
        <v>4</v>
      </c>
      <c r="AI112" s="30" t="s">
        <v>106</v>
      </c>
    </row>
    <row r="113" spans="1:35" x14ac:dyDescent="0.3">
      <c r="A113" s="30">
        <v>17</v>
      </c>
      <c r="B113" s="30" t="s">
        <v>389</v>
      </c>
      <c r="C113" s="30" t="s">
        <v>19</v>
      </c>
      <c r="D113" s="31">
        <v>46053</v>
      </c>
      <c r="E113" s="30">
        <v>814</v>
      </c>
      <c r="F113" s="30">
        <v>0</v>
      </c>
      <c r="G113" s="32">
        <v>12330552</v>
      </c>
      <c r="H113" s="30">
        <v>309455768</v>
      </c>
      <c r="I113" s="30" t="s">
        <v>427</v>
      </c>
      <c r="J113" s="30" t="s">
        <v>180</v>
      </c>
      <c r="K113" s="30" t="s">
        <v>181</v>
      </c>
      <c r="L113" s="30" t="s">
        <v>203</v>
      </c>
      <c r="M113" s="30" t="s">
        <v>173</v>
      </c>
      <c r="N113" s="30" t="s">
        <v>167</v>
      </c>
      <c r="O113" s="30">
        <v>12330552</v>
      </c>
      <c r="P113" s="30">
        <v>1</v>
      </c>
      <c r="Q113" s="30" t="s">
        <v>168</v>
      </c>
      <c r="R113" s="30" t="s">
        <v>169</v>
      </c>
      <c r="S113" s="30" t="s">
        <v>170</v>
      </c>
      <c r="T113" s="30" t="s">
        <v>171</v>
      </c>
      <c r="U113" s="30" t="s">
        <v>19</v>
      </c>
      <c r="V113" s="30" t="s">
        <v>172</v>
      </c>
      <c r="W113" s="30" t="s">
        <v>173</v>
      </c>
      <c r="X113" s="30" t="s">
        <v>174</v>
      </c>
      <c r="Y113" s="30" t="s">
        <v>428</v>
      </c>
      <c r="Z113" s="30">
        <v>3</v>
      </c>
      <c r="AA113" s="30" t="s">
        <v>176</v>
      </c>
      <c r="AB113" s="30">
        <v>11</v>
      </c>
      <c r="AC113" s="30" t="s">
        <v>177</v>
      </c>
      <c r="AD113" s="30" t="s">
        <v>178</v>
      </c>
      <c r="AE113" s="30" t="s">
        <v>19</v>
      </c>
      <c r="AF113" s="30" t="s">
        <v>99</v>
      </c>
      <c r="AG113" s="30" t="s">
        <v>36</v>
      </c>
      <c r="AH113" s="30" t="s">
        <v>4</v>
      </c>
      <c r="AI113" s="30"/>
    </row>
    <row r="114" spans="1:35" x14ac:dyDescent="0.3">
      <c r="A114" s="30">
        <v>18</v>
      </c>
      <c r="B114" s="30" t="s">
        <v>389</v>
      </c>
      <c r="C114" s="30" t="s">
        <v>19</v>
      </c>
      <c r="D114" s="31">
        <v>46053</v>
      </c>
      <c r="E114" s="30">
        <v>815</v>
      </c>
      <c r="F114" s="30">
        <v>0</v>
      </c>
      <c r="G114" s="32">
        <v>3368942</v>
      </c>
      <c r="H114" s="30">
        <v>312824710</v>
      </c>
      <c r="I114" s="30" t="s">
        <v>429</v>
      </c>
      <c r="J114" s="30" t="s">
        <v>163</v>
      </c>
      <c r="K114" s="30" t="s">
        <v>164</v>
      </c>
      <c r="L114" s="30" t="s">
        <v>203</v>
      </c>
      <c r="M114" s="30" t="s">
        <v>173</v>
      </c>
      <c r="N114" s="30" t="s">
        <v>167</v>
      </c>
      <c r="O114" s="30">
        <v>3368942</v>
      </c>
      <c r="P114" s="30">
        <v>1</v>
      </c>
      <c r="Q114" s="30" t="s">
        <v>168</v>
      </c>
      <c r="R114" s="30" t="s">
        <v>169</v>
      </c>
      <c r="S114" s="30" t="s">
        <v>170</v>
      </c>
      <c r="T114" s="30" t="s">
        <v>171</v>
      </c>
      <c r="U114" s="30" t="s">
        <v>19</v>
      </c>
      <c r="V114" s="30" t="s">
        <v>172</v>
      </c>
      <c r="W114" s="30" t="s">
        <v>173</v>
      </c>
      <c r="X114" s="30" t="s">
        <v>174</v>
      </c>
      <c r="Y114" s="30" t="s">
        <v>430</v>
      </c>
      <c r="Z114" s="30">
        <v>1</v>
      </c>
      <c r="AA114" s="30" t="s">
        <v>176</v>
      </c>
      <c r="AB114" s="30">
        <v>11</v>
      </c>
      <c r="AC114" s="30" t="s">
        <v>177</v>
      </c>
      <c r="AD114" s="30" t="s">
        <v>178</v>
      </c>
      <c r="AE114" s="30" t="s">
        <v>19</v>
      </c>
      <c r="AF114" s="30" t="s">
        <v>99</v>
      </c>
      <c r="AG114" s="30" t="s">
        <v>37</v>
      </c>
      <c r="AH114" s="30" t="s">
        <v>4</v>
      </c>
      <c r="AI114" s="30" t="s">
        <v>111</v>
      </c>
    </row>
    <row r="115" spans="1:35" x14ac:dyDescent="0.3">
      <c r="A115" s="30">
        <v>19</v>
      </c>
      <c r="B115" s="30" t="s">
        <v>389</v>
      </c>
      <c r="C115" s="30" t="s">
        <v>19</v>
      </c>
      <c r="D115" s="31">
        <v>46053</v>
      </c>
      <c r="E115" s="30">
        <v>1155</v>
      </c>
      <c r="F115" s="30">
        <v>0</v>
      </c>
      <c r="G115" s="32">
        <v>26853189</v>
      </c>
      <c r="H115" s="30">
        <v>339677899</v>
      </c>
      <c r="I115" s="30" t="s">
        <v>431</v>
      </c>
      <c r="J115" s="30" t="s">
        <v>432</v>
      </c>
      <c r="K115" s="30" t="s">
        <v>433</v>
      </c>
      <c r="L115" s="30" t="s">
        <v>203</v>
      </c>
      <c r="M115" s="30" t="s">
        <v>173</v>
      </c>
      <c r="N115" s="30" t="s">
        <v>167</v>
      </c>
      <c r="O115" s="30">
        <v>26853189</v>
      </c>
      <c r="P115" s="30">
        <v>1</v>
      </c>
      <c r="Q115" s="30" t="s">
        <v>168</v>
      </c>
      <c r="R115" s="30" t="s">
        <v>169</v>
      </c>
      <c r="S115" s="30"/>
      <c r="T115" s="30"/>
      <c r="U115" s="30"/>
      <c r="V115" s="30" t="s">
        <v>172</v>
      </c>
      <c r="W115" s="30" t="s">
        <v>173</v>
      </c>
      <c r="X115" s="30" t="s">
        <v>434</v>
      </c>
      <c r="Y115" s="30" t="s">
        <v>435</v>
      </c>
      <c r="Z115" s="30">
        <v>3</v>
      </c>
      <c r="AA115" s="30" t="s">
        <v>197</v>
      </c>
      <c r="AB115" s="30">
        <v>11</v>
      </c>
      <c r="AC115" s="30" t="s">
        <v>177</v>
      </c>
      <c r="AD115" s="30" t="s">
        <v>178</v>
      </c>
      <c r="AE115" s="30" t="s">
        <v>19</v>
      </c>
      <c r="AF115" s="30" t="s">
        <v>99</v>
      </c>
      <c r="AG115" s="30" t="s">
        <v>73</v>
      </c>
      <c r="AH115" s="30" t="s">
        <v>4</v>
      </c>
      <c r="AI115" s="30" t="s">
        <v>104</v>
      </c>
    </row>
    <row r="116" spans="1:35" x14ac:dyDescent="0.3">
      <c r="A116" s="30">
        <v>20</v>
      </c>
      <c r="B116" s="30" t="s">
        <v>389</v>
      </c>
      <c r="C116" s="30" t="s">
        <v>19</v>
      </c>
      <c r="D116" s="31">
        <v>46053</v>
      </c>
      <c r="E116" s="30">
        <v>1155</v>
      </c>
      <c r="F116" s="30">
        <v>0</v>
      </c>
      <c r="G116" s="32">
        <v>1086738</v>
      </c>
      <c r="H116" s="30">
        <v>340764637</v>
      </c>
      <c r="I116" s="30" t="s">
        <v>436</v>
      </c>
      <c r="J116" s="30" t="s">
        <v>432</v>
      </c>
      <c r="K116" s="30" t="s">
        <v>433</v>
      </c>
      <c r="L116" s="30" t="s">
        <v>203</v>
      </c>
      <c r="M116" s="30" t="s">
        <v>173</v>
      </c>
      <c r="N116" s="30" t="s">
        <v>167</v>
      </c>
      <c r="O116" s="30">
        <v>1086738</v>
      </c>
      <c r="P116" s="30">
        <v>1</v>
      </c>
      <c r="Q116" s="30" t="s">
        <v>168</v>
      </c>
      <c r="R116" s="30" t="s">
        <v>169</v>
      </c>
      <c r="S116" s="30"/>
      <c r="T116" s="30"/>
      <c r="U116" s="30"/>
      <c r="V116" s="30" t="s">
        <v>172</v>
      </c>
      <c r="W116" s="30" t="s">
        <v>173</v>
      </c>
      <c r="X116" s="30" t="s">
        <v>434</v>
      </c>
      <c r="Y116" s="30" t="s">
        <v>435</v>
      </c>
      <c r="Z116" s="30">
        <v>6</v>
      </c>
      <c r="AA116" s="30" t="s">
        <v>197</v>
      </c>
      <c r="AB116" s="30">
        <v>11</v>
      </c>
      <c r="AC116" s="30" t="s">
        <v>177</v>
      </c>
      <c r="AD116" s="30" t="s">
        <v>178</v>
      </c>
      <c r="AE116" s="30" t="s">
        <v>19</v>
      </c>
      <c r="AF116" s="30" t="s">
        <v>99</v>
      </c>
      <c r="AG116" s="30" t="s">
        <v>73</v>
      </c>
      <c r="AH116" s="30" t="s">
        <v>4</v>
      </c>
      <c r="AI116" s="30" t="s">
        <v>104</v>
      </c>
    </row>
    <row r="117" spans="1:35" x14ac:dyDescent="0.3">
      <c r="A117" s="30">
        <v>21</v>
      </c>
      <c r="B117" s="30" t="s">
        <v>389</v>
      </c>
      <c r="C117" s="30" t="s">
        <v>19</v>
      </c>
      <c r="D117" s="31">
        <v>46053</v>
      </c>
      <c r="E117" s="30">
        <v>1155</v>
      </c>
      <c r="F117" s="30">
        <v>0</v>
      </c>
      <c r="G117" s="32">
        <v>2533864</v>
      </c>
      <c r="H117" s="30">
        <v>343298501</v>
      </c>
      <c r="I117" s="30" t="s">
        <v>437</v>
      </c>
      <c r="J117" s="30" t="s">
        <v>432</v>
      </c>
      <c r="K117" s="30" t="s">
        <v>433</v>
      </c>
      <c r="L117" s="30" t="s">
        <v>203</v>
      </c>
      <c r="M117" s="30" t="s">
        <v>173</v>
      </c>
      <c r="N117" s="30" t="s">
        <v>167</v>
      </c>
      <c r="O117" s="30">
        <v>2533864</v>
      </c>
      <c r="P117" s="30">
        <v>1</v>
      </c>
      <c r="Q117" s="30" t="s">
        <v>168</v>
      </c>
      <c r="R117" s="30" t="s">
        <v>169</v>
      </c>
      <c r="S117" s="30"/>
      <c r="T117" s="30"/>
      <c r="U117" s="30"/>
      <c r="V117" s="30" t="s">
        <v>172</v>
      </c>
      <c r="W117" s="30" t="s">
        <v>173</v>
      </c>
      <c r="X117" s="30" t="s">
        <v>434</v>
      </c>
      <c r="Y117" s="30" t="s">
        <v>435</v>
      </c>
      <c r="Z117" s="30">
        <v>9</v>
      </c>
      <c r="AA117" s="30" t="s">
        <v>197</v>
      </c>
      <c r="AB117" s="30">
        <v>11</v>
      </c>
      <c r="AC117" s="30" t="s">
        <v>177</v>
      </c>
      <c r="AD117" s="30" t="s">
        <v>178</v>
      </c>
      <c r="AE117" s="30" t="s">
        <v>19</v>
      </c>
      <c r="AF117" s="30" t="s">
        <v>99</v>
      </c>
      <c r="AG117" s="30" t="s">
        <v>73</v>
      </c>
      <c r="AH117" s="30" t="s">
        <v>4</v>
      </c>
      <c r="AI117" s="30" t="s">
        <v>104</v>
      </c>
    </row>
    <row r="118" spans="1:35" x14ac:dyDescent="0.3">
      <c r="A118" s="30">
        <v>22</v>
      </c>
      <c r="B118" s="30" t="s">
        <v>389</v>
      </c>
      <c r="C118" s="30" t="s">
        <v>19</v>
      </c>
      <c r="D118" s="31">
        <v>46053</v>
      </c>
      <c r="E118" s="30">
        <v>1155</v>
      </c>
      <c r="F118" s="30">
        <v>0</v>
      </c>
      <c r="G118" s="32">
        <v>20767</v>
      </c>
      <c r="H118" s="30">
        <v>343319268</v>
      </c>
      <c r="I118" s="30" t="s">
        <v>438</v>
      </c>
      <c r="J118" s="30" t="s">
        <v>432</v>
      </c>
      <c r="K118" s="30" t="s">
        <v>433</v>
      </c>
      <c r="L118" s="30" t="s">
        <v>203</v>
      </c>
      <c r="M118" s="30" t="s">
        <v>173</v>
      </c>
      <c r="N118" s="30" t="s">
        <v>167</v>
      </c>
      <c r="O118" s="30">
        <v>20767</v>
      </c>
      <c r="P118" s="30">
        <v>1</v>
      </c>
      <c r="Q118" s="30" t="s">
        <v>168</v>
      </c>
      <c r="R118" s="30" t="s">
        <v>169</v>
      </c>
      <c r="S118" s="30"/>
      <c r="T118" s="30"/>
      <c r="U118" s="30"/>
      <c r="V118" s="30" t="s">
        <v>172</v>
      </c>
      <c r="W118" s="30" t="s">
        <v>173</v>
      </c>
      <c r="X118" s="30" t="s">
        <v>434</v>
      </c>
      <c r="Y118" s="30" t="s">
        <v>435</v>
      </c>
      <c r="Z118" s="30">
        <v>12</v>
      </c>
      <c r="AA118" s="30" t="s">
        <v>197</v>
      </c>
      <c r="AB118" s="30">
        <v>11</v>
      </c>
      <c r="AC118" s="30" t="s">
        <v>177</v>
      </c>
      <c r="AD118" s="30" t="s">
        <v>178</v>
      </c>
      <c r="AE118" s="30" t="s">
        <v>19</v>
      </c>
      <c r="AF118" s="30" t="s">
        <v>99</v>
      </c>
      <c r="AG118" s="30" t="s">
        <v>73</v>
      </c>
      <c r="AH118" s="30" t="s">
        <v>4</v>
      </c>
      <c r="AI118" s="30" t="s">
        <v>104</v>
      </c>
    </row>
    <row r="119" spans="1:35" x14ac:dyDescent="0.3">
      <c r="A119" s="30">
        <v>23</v>
      </c>
      <c r="B119" s="30" t="s">
        <v>389</v>
      </c>
      <c r="C119" s="30" t="s">
        <v>19</v>
      </c>
      <c r="D119" s="31">
        <v>46053</v>
      </c>
      <c r="E119" s="30">
        <v>1154</v>
      </c>
      <c r="F119" s="30">
        <v>0</v>
      </c>
      <c r="G119" s="32">
        <v>11037</v>
      </c>
      <c r="H119" s="30">
        <v>343330305</v>
      </c>
      <c r="I119" s="30" t="s">
        <v>439</v>
      </c>
      <c r="J119" s="30" t="s">
        <v>432</v>
      </c>
      <c r="K119" s="30" t="s">
        <v>433</v>
      </c>
      <c r="L119" s="30" t="s">
        <v>194</v>
      </c>
      <c r="M119" s="30" t="s">
        <v>195</v>
      </c>
      <c r="N119" s="30" t="s">
        <v>167</v>
      </c>
      <c r="O119" s="30">
        <v>11037</v>
      </c>
      <c r="P119" s="30">
        <v>1</v>
      </c>
      <c r="Q119" s="30" t="s">
        <v>168</v>
      </c>
      <c r="R119" s="30" t="s">
        <v>169</v>
      </c>
      <c r="S119" s="30"/>
      <c r="T119" s="30"/>
      <c r="U119" s="30"/>
      <c r="V119" s="30" t="s">
        <v>172</v>
      </c>
      <c r="W119" s="30" t="s">
        <v>173</v>
      </c>
      <c r="X119" s="30" t="s">
        <v>434</v>
      </c>
      <c r="Y119" s="30" t="s">
        <v>440</v>
      </c>
      <c r="Z119" s="30">
        <v>3</v>
      </c>
      <c r="AA119" s="30" t="s">
        <v>197</v>
      </c>
      <c r="AB119" s="30">
        <v>11</v>
      </c>
      <c r="AC119" s="30" t="s">
        <v>177</v>
      </c>
      <c r="AD119" s="30" t="s">
        <v>178</v>
      </c>
      <c r="AE119" s="30" t="s">
        <v>19</v>
      </c>
      <c r="AF119" s="30" t="s">
        <v>99</v>
      </c>
      <c r="AG119" s="30" t="s">
        <v>73</v>
      </c>
      <c r="AH119" s="30" t="s">
        <v>4</v>
      </c>
      <c r="AI119" s="30" t="s">
        <v>104</v>
      </c>
    </row>
    <row r="120" spans="1:35" x14ac:dyDescent="0.3">
      <c r="A120" s="30">
        <v>24</v>
      </c>
      <c r="B120" s="30" t="s">
        <v>389</v>
      </c>
      <c r="C120" s="30" t="s">
        <v>19</v>
      </c>
      <c r="D120" s="31">
        <v>46053</v>
      </c>
      <c r="E120" s="30">
        <v>1154</v>
      </c>
      <c r="F120" s="30">
        <v>0</v>
      </c>
      <c r="G120" s="32">
        <v>15483289</v>
      </c>
      <c r="H120" s="30">
        <v>358813594</v>
      </c>
      <c r="I120" s="30" t="s">
        <v>441</v>
      </c>
      <c r="J120" s="30" t="s">
        <v>432</v>
      </c>
      <c r="K120" s="30" t="s">
        <v>433</v>
      </c>
      <c r="L120" s="30" t="s">
        <v>194</v>
      </c>
      <c r="M120" s="30" t="s">
        <v>195</v>
      </c>
      <c r="N120" s="30" t="s">
        <v>167</v>
      </c>
      <c r="O120" s="30">
        <v>15483289</v>
      </c>
      <c r="P120" s="30">
        <v>1</v>
      </c>
      <c r="Q120" s="30" t="s">
        <v>168</v>
      </c>
      <c r="R120" s="30" t="s">
        <v>169</v>
      </c>
      <c r="S120" s="30"/>
      <c r="T120" s="30"/>
      <c r="U120" s="30"/>
      <c r="V120" s="30" t="s">
        <v>172</v>
      </c>
      <c r="W120" s="30" t="s">
        <v>173</v>
      </c>
      <c r="X120" s="30" t="s">
        <v>434</v>
      </c>
      <c r="Y120" s="30" t="s">
        <v>440</v>
      </c>
      <c r="Z120" s="30">
        <v>6</v>
      </c>
      <c r="AA120" s="30" t="s">
        <v>197</v>
      </c>
      <c r="AB120" s="30">
        <v>11</v>
      </c>
      <c r="AC120" s="30" t="s">
        <v>177</v>
      </c>
      <c r="AD120" s="30" t="s">
        <v>178</v>
      </c>
      <c r="AE120" s="30" t="s">
        <v>19</v>
      </c>
      <c r="AF120" s="30" t="s">
        <v>99</v>
      </c>
      <c r="AG120" s="30" t="s">
        <v>73</v>
      </c>
      <c r="AH120" s="30" t="s">
        <v>4</v>
      </c>
      <c r="AI120" s="30" t="s">
        <v>104</v>
      </c>
    </row>
    <row r="121" spans="1:35" x14ac:dyDescent="0.3">
      <c r="A121" s="30">
        <v>25</v>
      </c>
      <c r="B121" s="30" t="s">
        <v>389</v>
      </c>
      <c r="C121" s="30" t="s">
        <v>19</v>
      </c>
      <c r="D121" s="31">
        <v>46053</v>
      </c>
      <c r="E121" s="30">
        <v>1153</v>
      </c>
      <c r="F121" s="30">
        <v>0</v>
      </c>
      <c r="G121" s="32">
        <v>48550328</v>
      </c>
      <c r="H121" s="30">
        <v>407363922</v>
      </c>
      <c r="I121" s="30" t="s">
        <v>442</v>
      </c>
      <c r="J121" s="30" t="s">
        <v>443</v>
      </c>
      <c r="K121" s="30" t="s">
        <v>444</v>
      </c>
      <c r="L121" s="30" t="s">
        <v>194</v>
      </c>
      <c r="M121" s="30" t="s">
        <v>195</v>
      </c>
      <c r="N121" s="30" t="s">
        <v>167</v>
      </c>
      <c r="O121" s="30">
        <v>48550328</v>
      </c>
      <c r="P121" s="30">
        <v>1</v>
      </c>
      <c r="Q121" s="30" t="s">
        <v>168</v>
      </c>
      <c r="R121" s="30" t="s">
        <v>169</v>
      </c>
      <c r="S121" s="30"/>
      <c r="T121" s="30"/>
      <c r="U121" s="30"/>
      <c r="V121" s="30" t="s">
        <v>172</v>
      </c>
      <c r="W121" s="30" t="s">
        <v>173</v>
      </c>
      <c r="X121" s="30" t="s">
        <v>434</v>
      </c>
      <c r="Y121" s="30" t="s">
        <v>445</v>
      </c>
      <c r="Z121" s="30">
        <v>3</v>
      </c>
      <c r="AA121" s="30" t="s">
        <v>197</v>
      </c>
      <c r="AB121" s="30">
        <v>11</v>
      </c>
      <c r="AC121" s="30" t="s">
        <v>177</v>
      </c>
      <c r="AD121" s="30" t="s">
        <v>178</v>
      </c>
      <c r="AE121" s="30" t="s">
        <v>19</v>
      </c>
      <c r="AF121" s="30" t="s">
        <v>99</v>
      </c>
      <c r="AG121" s="30" t="s">
        <v>74</v>
      </c>
      <c r="AH121" s="30" t="s">
        <v>4</v>
      </c>
      <c r="AI121" s="30" t="s">
        <v>104</v>
      </c>
    </row>
    <row r="122" spans="1:35" x14ac:dyDescent="0.3">
      <c r="A122" s="30">
        <v>29</v>
      </c>
      <c r="B122" s="30" t="s">
        <v>389</v>
      </c>
      <c r="C122" s="30" t="s">
        <v>19</v>
      </c>
      <c r="D122" s="31">
        <v>46054</v>
      </c>
      <c r="E122" s="30">
        <v>17</v>
      </c>
      <c r="F122" s="30">
        <v>0</v>
      </c>
      <c r="G122" s="32">
        <v>-4583869</v>
      </c>
      <c r="H122" s="30">
        <v>-4583869</v>
      </c>
      <c r="I122" s="30" t="s">
        <v>446</v>
      </c>
      <c r="J122" s="30" t="s">
        <v>180</v>
      </c>
      <c r="K122" s="30" t="s">
        <v>181</v>
      </c>
      <c r="L122" s="30" t="s">
        <v>203</v>
      </c>
      <c r="M122" s="30" t="s">
        <v>173</v>
      </c>
      <c r="N122" s="30" t="s">
        <v>167</v>
      </c>
      <c r="O122" s="30">
        <v>-4583869</v>
      </c>
      <c r="P122" s="30">
        <v>1</v>
      </c>
      <c r="Q122" s="30" t="s">
        <v>168</v>
      </c>
      <c r="R122" s="30" t="s">
        <v>169</v>
      </c>
      <c r="S122" s="30"/>
      <c r="T122" s="30"/>
      <c r="U122" s="30"/>
      <c r="V122" s="30" t="s">
        <v>172</v>
      </c>
      <c r="W122" s="30" t="s">
        <v>173</v>
      </c>
      <c r="X122" s="30" t="s">
        <v>174</v>
      </c>
      <c r="Y122" s="30" t="s">
        <v>447</v>
      </c>
      <c r="Z122" s="30">
        <v>2</v>
      </c>
      <c r="AA122" s="30" t="s">
        <v>197</v>
      </c>
      <c r="AB122" s="30">
        <v>11</v>
      </c>
      <c r="AC122" s="30" t="s">
        <v>177</v>
      </c>
      <c r="AD122" s="30" t="s">
        <v>178</v>
      </c>
      <c r="AE122" s="30" t="s">
        <v>19</v>
      </c>
      <c r="AF122" s="30" t="s">
        <v>99</v>
      </c>
      <c r="AG122" s="30" t="s">
        <v>36</v>
      </c>
      <c r="AH122" s="30" t="s">
        <v>5</v>
      </c>
      <c r="AI122" s="30"/>
    </row>
    <row r="123" spans="1:35" x14ac:dyDescent="0.3">
      <c r="A123" s="30">
        <v>30</v>
      </c>
      <c r="B123" s="30" t="s">
        <v>389</v>
      </c>
      <c r="C123" s="30" t="s">
        <v>19</v>
      </c>
      <c r="D123" s="31">
        <v>46081</v>
      </c>
      <c r="E123" s="30">
        <v>187</v>
      </c>
      <c r="F123" s="30">
        <v>0</v>
      </c>
      <c r="G123" s="32">
        <v>38446</v>
      </c>
      <c r="H123" s="30">
        <v>-4545423</v>
      </c>
      <c r="I123" s="30" t="s">
        <v>448</v>
      </c>
      <c r="J123" s="30" t="s">
        <v>192</v>
      </c>
      <c r="K123" s="30" t="s">
        <v>193</v>
      </c>
      <c r="L123" s="30" t="s">
        <v>226</v>
      </c>
      <c r="M123" s="30" t="s">
        <v>227</v>
      </c>
      <c r="N123" s="30" t="s">
        <v>167</v>
      </c>
      <c r="O123" s="30">
        <v>38446</v>
      </c>
      <c r="P123" s="30">
        <v>1</v>
      </c>
      <c r="Q123" s="30" t="s">
        <v>168</v>
      </c>
      <c r="R123" s="30" t="s">
        <v>169</v>
      </c>
      <c r="S123" s="30" t="s">
        <v>170</v>
      </c>
      <c r="T123" s="30" t="s">
        <v>171</v>
      </c>
      <c r="U123" s="30" t="s">
        <v>19</v>
      </c>
      <c r="V123" s="30" t="s">
        <v>172</v>
      </c>
      <c r="W123" s="30" t="s">
        <v>173</v>
      </c>
      <c r="X123" s="30" t="s">
        <v>174</v>
      </c>
      <c r="Y123" s="30" t="s">
        <v>449</v>
      </c>
      <c r="Z123" s="30">
        <v>1</v>
      </c>
      <c r="AA123" s="30" t="s">
        <v>176</v>
      </c>
      <c r="AB123" s="30">
        <v>11</v>
      </c>
      <c r="AC123" s="30" t="s">
        <v>177</v>
      </c>
      <c r="AD123" s="30" t="s">
        <v>178</v>
      </c>
      <c r="AE123" s="30" t="s">
        <v>19</v>
      </c>
      <c r="AF123" s="30" t="s">
        <v>99</v>
      </c>
      <c r="AG123" s="30" t="s">
        <v>109</v>
      </c>
      <c r="AH123" s="30" t="s">
        <v>5</v>
      </c>
      <c r="AI123" s="30"/>
    </row>
    <row r="124" spans="1:35" x14ac:dyDescent="0.3">
      <c r="A124" s="30">
        <v>31</v>
      </c>
      <c r="B124" s="30" t="s">
        <v>389</v>
      </c>
      <c r="C124" s="30" t="s">
        <v>19</v>
      </c>
      <c r="D124" s="31">
        <v>46081</v>
      </c>
      <c r="E124" s="30">
        <v>188</v>
      </c>
      <c r="F124" s="30">
        <v>0</v>
      </c>
      <c r="G124" s="32">
        <v>500000</v>
      </c>
      <c r="H124" s="30">
        <v>-4045423</v>
      </c>
      <c r="I124" s="30" t="s">
        <v>450</v>
      </c>
      <c r="J124" s="30" t="s">
        <v>199</v>
      </c>
      <c r="K124" s="30" t="s">
        <v>200</v>
      </c>
      <c r="L124" s="30" t="s">
        <v>203</v>
      </c>
      <c r="M124" s="30" t="s">
        <v>173</v>
      </c>
      <c r="N124" s="30" t="s">
        <v>167</v>
      </c>
      <c r="O124" s="30">
        <v>500000</v>
      </c>
      <c r="P124" s="30">
        <v>1</v>
      </c>
      <c r="Q124" s="30" t="s">
        <v>168</v>
      </c>
      <c r="R124" s="30" t="s">
        <v>169</v>
      </c>
      <c r="S124" s="30" t="s">
        <v>170</v>
      </c>
      <c r="T124" s="30" t="s">
        <v>171</v>
      </c>
      <c r="U124" s="30" t="s">
        <v>19</v>
      </c>
      <c r="V124" s="30" t="s">
        <v>172</v>
      </c>
      <c r="W124" s="30" t="s">
        <v>173</v>
      </c>
      <c r="X124" s="30" t="s">
        <v>174</v>
      </c>
      <c r="Y124" s="30" t="s">
        <v>451</v>
      </c>
      <c r="Z124" s="30">
        <v>1</v>
      </c>
      <c r="AA124" s="30" t="s">
        <v>176</v>
      </c>
      <c r="AB124" s="30">
        <v>11</v>
      </c>
      <c r="AC124" s="30" t="s">
        <v>177</v>
      </c>
      <c r="AD124" s="30" t="s">
        <v>178</v>
      </c>
      <c r="AE124" s="30" t="s">
        <v>19</v>
      </c>
      <c r="AF124" s="30" t="s">
        <v>99</v>
      </c>
      <c r="AG124" s="30" t="s">
        <v>107</v>
      </c>
      <c r="AH124" s="30" t="s">
        <v>5</v>
      </c>
      <c r="AI124" s="30" t="s">
        <v>108</v>
      </c>
    </row>
    <row r="125" spans="1:35" x14ac:dyDescent="0.3">
      <c r="A125" s="30">
        <v>32</v>
      </c>
      <c r="B125" s="30" t="s">
        <v>389</v>
      </c>
      <c r="C125" s="30" t="s">
        <v>19</v>
      </c>
      <c r="D125" s="31">
        <v>46081</v>
      </c>
      <c r="E125" s="30">
        <v>1036</v>
      </c>
      <c r="F125" s="30">
        <v>0</v>
      </c>
      <c r="G125" s="32">
        <v>217780072</v>
      </c>
      <c r="H125" s="30">
        <v>213734649</v>
      </c>
      <c r="I125" s="30" t="s">
        <v>452</v>
      </c>
      <c r="J125" s="30" t="s">
        <v>163</v>
      </c>
      <c r="K125" s="30" t="s">
        <v>164</v>
      </c>
      <c r="L125" s="30" t="s">
        <v>203</v>
      </c>
      <c r="M125" s="30" t="s">
        <v>173</v>
      </c>
      <c r="N125" s="30" t="s">
        <v>167</v>
      </c>
      <c r="O125" s="30">
        <v>217780072</v>
      </c>
      <c r="P125" s="30">
        <v>1</v>
      </c>
      <c r="Q125" s="30" t="s">
        <v>168</v>
      </c>
      <c r="R125" s="30" t="s">
        <v>169</v>
      </c>
      <c r="S125" s="30"/>
      <c r="T125" s="30"/>
      <c r="U125" s="30"/>
      <c r="V125" s="30" t="s">
        <v>172</v>
      </c>
      <c r="W125" s="30" t="s">
        <v>173</v>
      </c>
      <c r="X125" s="30" t="s">
        <v>174</v>
      </c>
      <c r="Y125" s="30" t="s">
        <v>453</v>
      </c>
      <c r="Z125" s="30">
        <v>2</v>
      </c>
      <c r="AA125" s="30" t="s">
        <v>197</v>
      </c>
      <c r="AB125" s="30">
        <v>12</v>
      </c>
      <c r="AC125" s="30" t="s">
        <v>205</v>
      </c>
      <c r="AD125" s="30" t="s">
        <v>178</v>
      </c>
      <c r="AE125" s="30" t="s">
        <v>19</v>
      </c>
      <c r="AF125" s="30" t="s">
        <v>99</v>
      </c>
      <c r="AG125" s="30" t="s">
        <v>37</v>
      </c>
      <c r="AH125" s="30" t="s">
        <v>5</v>
      </c>
      <c r="AI125" s="30" t="s">
        <v>111</v>
      </c>
    </row>
    <row r="126" spans="1:35" x14ac:dyDescent="0.3">
      <c r="A126" s="30">
        <v>33</v>
      </c>
      <c r="B126" s="30" t="s">
        <v>389</v>
      </c>
      <c r="C126" s="30" t="s">
        <v>19</v>
      </c>
      <c r="D126" s="31">
        <v>46081</v>
      </c>
      <c r="E126" s="30">
        <v>1039</v>
      </c>
      <c r="F126" s="30">
        <v>0</v>
      </c>
      <c r="G126" s="32">
        <v>1527956</v>
      </c>
      <c r="H126" s="30">
        <v>215262605</v>
      </c>
      <c r="I126" s="30" t="s">
        <v>454</v>
      </c>
      <c r="J126" s="30" t="s">
        <v>180</v>
      </c>
      <c r="K126" s="30" t="s">
        <v>181</v>
      </c>
      <c r="L126" s="30" t="s">
        <v>203</v>
      </c>
      <c r="M126" s="30" t="s">
        <v>173</v>
      </c>
      <c r="N126" s="30" t="s">
        <v>167</v>
      </c>
      <c r="O126" s="30">
        <v>1527956</v>
      </c>
      <c r="P126" s="30">
        <v>1</v>
      </c>
      <c r="Q126" s="30" t="s">
        <v>168</v>
      </c>
      <c r="R126" s="30" t="s">
        <v>169</v>
      </c>
      <c r="S126" s="30"/>
      <c r="T126" s="30"/>
      <c r="U126" s="30"/>
      <c r="V126" s="30" t="s">
        <v>172</v>
      </c>
      <c r="W126" s="30" t="s">
        <v>173</v>
      </c>
      <c r="X126" s="30" t="s">
        <v>174</v>
      </c>
      <c r="Y126" s="30" t="s">
        <v>455</v>
      </c>
      <c r="Z126" s="30">
        <v>1</v>
      </c>
      <c r="AA126" s="30" t="s">
        <v>197</v>
      </c>
      <c r="AB126" s="30">
        <v>12</v>
      </c>
      <c r="AC126" s="30" t="s">
        <v>205</v>
      </c>
      <c r="AD126" s="30" t="s">
        <v>178</v>
      </c>
      <c r="AE126" s="30" t="s">
        <v>19</v>
      </c>
      <c r="AF126" s="30" t="s">
        <v>99</v>
      </c>
      <c r="AG126" s="30" t="s">
        <v>36</v>
      </c>
      <c r="AH126" s="30" t="s">
        <v>5</v>
      </c>
      <c r="AI126" s="30"/>
    </row>
    <row r="127" spans="1:35" x14ac:dyDescent="0.3">
      <c r="A127" s="30">
        <v>34</v>
      </c>
      <c r="B127" s="30" t="s">
        <v>389</v>
      </c>
      <c r="C127" s="30" t="s">
        <v>19</v>
      </c>
      <c r="D127" s="31">
        <v>46081</v>
      </c>
      <c r="E127" s="30">
        <v>1040</v>
      </c>
      <c r="F127" s="30">
        <v>0</v>
      </c>
      <c r="G127" s="32">
        <v>2387716</v>
      </c>
      <c r="H127" s="30">
        <v>217650321</v>
      </c>
      <c r="I127" s="30" t="s">
        <v>456</v>
      </c>
      <c r="J127" s="30" t="s">
        <v>387</v>
      </c>
      <c r="K127" s="30" t="s">
        <v>388</v>
      </c>
      <c r="L127" s="30" t="s">
        <v>203</v>
      </c>
      <c r="M127" s="30" t="s">
        <v>173</v>
      </c>
      <c r="N127" s="30" t="s">
        <v>397</v>
      </c>
      <c r="O127" s="30">
        <v>1645.59</v>
      </c>
      <c r="P127" s="30">
        <v>1450.98</v>
      </c>
      <c r="Q127" s="30" t="s">
        <v>168</v>
      </c>
      <c r="R127" s="30" t="s">
        <v>169</v>
      </c>
      <c r="S127" s="30"/>
      <c r="T127" s="30"/>
      <c r="U127" s="30"/>
      <c r="V127" s="30" t="s">
        <v>172</v>
      </c>
      <c r="W127" s="30" t="s">
        <v>173</v>
      </c>
      <c r="X127" s="30" t="s">
        <v>174</v>
      </c>
      <c r="Y127" s="30" t="s">
        <v>457</v>
      </c>
      <c r="Z127" s="30">
        <v>2</v>
      </c>
      <c r="AA127" s="30" t="s">
        <v>197</v>
      </c>
      <c r="AB127" s="30">
        <v>12</v>
      </c>
      <c r="AC127" s="30" t="s">
        <v>205</v>
      </c>
      <c r="AD127" s="30" t="s">
        <v>178</v>
      </c>
      <c r="AE127" s="30" t="s">
        <v>19</v>
      </c>
      <c r="AF127" s="30" t="s">
        <v>99</v>
      </c>
      <c r="AG127" s="30" t="s">
        <v>105</v>
      </c>
      <c r="AH127" s="30" t="s">
        <v>5</v>
      </c>
      <c r="AI127" s="30" t="s">
        <v>106</v>
      </c>
    </row>
    <row r="128" spans="1:35" x14ac:dyDescent="0.3">
      <c r="A128" s="30">
        <v>35</v>
      </c>
      <c r="B128" s="30" t="s">
        <v>389</v>
      </c>
      <c r="C128" s="30" t="s">
        <v>19</v>
      </c>
      <c r="D128" s="31">
        <v>46081</v>
      </c>
      <c r="E128" s="30">
        <v>1046</v>
      </c>
      <c r="F128" s="30">
        <v>0</v>
      </c>
      <c r="G128" s="32">
        <v>28476081</v>
      </c>
      <c r="H128" s="30">
        <v>246126402</v>
      </c>
      <c r="I128" s="30" t="s">
        <v>458</v>
      </c>
      <c r="J128" s="30" t="s">
        <v>410</v>
      </c>
      <c r="K128" s="30" t="s">
        <v>411</v>
      </c>
      <c r="L128" s="30" t="s">
        <v>203</v>
      </c>
      <c r="M128" s="30" t="s">
        <v>173</v>
      </c>
      <c r="N128" s="30" t="s">
        <v>397</v>
      </c>
      <c r="O128" s="30">
        <v>19625.41</v>
      </c>
      <c r="P128" s="30">
        <v>1450.98</v>
      </c>
      <c r="Q128" s="30" t="s">
        <v>412</v>
      </c>
      <c r="R128" s="30" t="s">
        <v>413</v>
      </c>
      <c r="S128" s="30"/>
      <c r="T128" s="30"/>
      <c r="U128" s="30"/>
      <c r="V128" s="30" t="s">
        <v>172</v>
      </c>
      <c r="W128" s="30" t="s">
        <v>173</v>
      </c>
      <c r="X128" s="30" t="s">
        <v>174</v>
      </c>
      <c r="Y128" s="30" t="s">
        <v>459</v>
      </c>
      <c r="Z128" s="30">
        <v>1</v>
      </c>
      <c r="AA128" s="30" t="s">
        <v>197</v>
      </c>
      <c r="AB128" s="30">
        <v>12</v>
      </c>
      <c r="AC128" s="30" t="s">
        <v>205</v>
      </c>
      <c r="AD128" s="30" t="s">
        <v>178</v>
      </c>
      <c r="AE128" s="30" t="s">
        <v>19</v>
      </c>
      <c r="AF128" s="30" t="s">
        <v>99</v>
      </c>
      <c r="AG128" s="30" t="s">
        <v>103</v>
      </c>
      <c r="AH128" s="30" t="s">
        <v>5</v>
      </c>
      <c r="AI128" s="30"/>
    </row>
    <row r="129" spans="1:35" x14ac:dyDescent="0.3">
      <c r="A129" s="30">
        <v>36</v>
      </c>
      <c r="B129" s="30" t="s">
        <v>389</v>
      </c>
      <c r="C129" s="30" t="s">
        <v>19</v>
      </c>
      <c r="D129" s="31">
        <v>46081</v>
      </c>
      <c r="E129" s="30">
        <v>1046</v>
      </c>
      <c r="F129" s="30">
        <v>0</v>
      </c>
      <c r="G129" s="32">
        <v>28476081</v>
      </c>
      <c r="H129" s="30">
        <v>274602483</v>
      </c>
      <c r="I129" s="30" t="s">
        <v>460</v>
      </c>
      <c r="J129" s="30" t="s">
        <v>410</v>
      </c>
      <c r="K129" s="30" t="s">
        <v>411</v>
      </c>
      <c r="L129" s="30" t="s">
        <v>203</v>
      </c>
      <c r="M129" s="30" t="s">
        <v>173</v>
      </c>
      <c r="N129" s="30" t="s">
        <v>397</v>
      </c>
      <c r="O129" s="30">
        <v>19625.41</v>
      </c>
      <c r="P129" s="30">
        <v>1450.98</v>
      </c>
      <c r="Q129" s="30" t="s">
        <v>412</v>
      </c>
      <c r="R129" s="30" t="s">
        <v>413</v>
      </c>
      <c r="S129" s="30"/>
      <c r="T129" s="30"/>
      <c r="U129" s="30"/>
      <c r="V129" s="30" t="s">
        <v>172</v>
      </c>
      <c r="W129" s="30" t="s">
        <v>173</v>
      </c>
      <c r="X129" s="30" t="s">
        <v>174</v>
      </c>
      <c r="Y129" s="30" t="s">
        <v>459</v>
      </c>
      <c r="Z129" s="30">
        <v>3</v>
      </c>
      <c r="AA129" s="30" t="s">
        <v>197</v>
      </c>
      <c r="AB129" s="30">
        <v>12</v>
      </c>
      <c r="AC129" s="30" t="s">
        <v>205</v>
      </c>
      <c r="AD129" s="30" t="s">
        <v>178</v>
      </c>
      <c r="AE129" s="30" t="s">
        <v>19</v>
      </c>
      <c r="AF129" s="30" t="s">
        <v>99</v>
      </c>
      <c r="AG129" s="30" t="s">
        <v>103</v>
      </c>
      <c r="AH129" s="30" t="s">
        <v>5</v>
      </c>
      <c r="AI129" s="30"/>
    </row>
    <row r="130" spans="1:35" x14ac:dyDescent="0.3">
      <c r="A130" s="30">
        <v>37</v>
      </c>
      <c r="B130" s="30" t="s">
        <v>389</v>
      </c>
      <c r="C130" s="30" t="s">
        <v>19</v>
      </c>
      <c r="D130" s="31">
        <v>46081</v>
      </c>
      <c r="E130" s="30">
        <v>1043</v>
      </c>
      <c r="F130" s="30">
        <v>0</v>
      </c>
      <c r="G130" s="32">
        <v>4640756</v>
      </c>
      <c r="H130" s="30">
        <v>279243239</v>
      </c>
      <c r="I130" s="30" t="s">
        <v>461</v>
      </c>
      <c r="J130" s="30" t="s">
        <v>410</v>
      </c>
      <c r="K130" s="30" t="s">
        <v>411</v>
      </c>
      <c r="L130" s="30" t="s">
        <v>203</v>
      </c>
      <c r="M130" s="30" t="s">
        <v>173</v>
      </c>
      <c r="N130" s="30" t="s">
        <v>397</v>
      </c>
      <c r="O130" s="30">
        <v>3198.36</v>
      </c>
      <c r="P130" s="30">
        <v>1450.98</v>
      </c>
      <c r="Q130" s="30" t="s">
        <v>168</v>
      </c>
      <c r="R130" s="30" t="s">
        <v>169</v>
      </c>
      <c r="S130" s="30"/>
      <c r="T130" s="30"/>
      <c r="U130" s="30"/>
      <c r="V130" s="30" t="s">
        <v>172</v>
      </c>
      <c r="W130" s="30" t="s">
        <v>173</v>
      </c>
      <c r="X130" s="30" t="s">
        <v>174</v>
      </c>
      <c r="Y130" s="30" t="s">
        <v>462</v>
      </c>
      <c r="Z130" s="30">
        <v>1</v>
      </c>
      <c r="AA130" s="30" t="s">
        <v>197</v>
      </c>
      <c r="AB130" s="30">
        <v>12</v>
      </c>
      <c r="AC130" s="30" t="s">
        <v>205</v>
      </c>
      <c r="AD130" s="30" t="s">
        <v>178</v>
      </c>
      <c r="AE130" s="30" t="s">
        <v>19</v>
      </c>
      <c r="AF130" s="30" t="s">
        <v>99</v>
      </c>
      <c r="AG130" s="30" t="s">
        <v>103</v>
      </c>
      <c r="AH130" s="30" t="s">
        <v>5</v>
      </c>
      <c r="AI130" s="30"/>
    </row>
    <row r="131" spans="1:35" x14ac:dyDescent="0.3">
      <c r="A131" s="30">
        <v>38</v>
      </c>
      <c r="B131" s="30" t="s">
        <v>389</v>
      </c>
      <c r="C131" s="30" t="s">
        <v>19</v>
      </c>
      <c r="D131" s="31">
        <v>46081</v>
      </c>
      <c r="E131" s="30">
        <v>1043</v>
      </c>
      <c r="F131" s="30">
        <v>0</v>
      </c>
      <c r="G131" s="32">
        <v>4640756</v>
      </c>
      <c r="H131" s="30">
        <v>283883995</v>
      </c>
      <c r="I131" s="30" t="s">
        <v>463</v>
      </c>
      <c r="J131" s="30" t="s">
        <v>410</v>
      </c>
      <c r="K131" s="30" t="s">
        <v>411</v>
      </c>
      <c r="L131" s="30" t="s">
        <v>203</v>
      </c>
      <c r="M131" s="30" t="s">
        <v>173</v>
      </c>
      <c r="N131" s="30" t="s">
        <v>397</v>
      </c>
      <c r="O131" s="30">
        <v>3198.36</v>
      </c>
      <c r="P131" s="30">
        <v>1450.98</v>
      </c>
      <c r="Q131" s="30" t="s">
        <v>168</v>
      </c>
      <c r="R131" s="30" t="s">
        <v>169</v>
      </c>
      <c r="S131" s="30"/>
      <c r="T131" s="30"/>
      <c r="U131" s="30"/>
      <c r="V131" s="30" t="s">
        <v>172</v>
      </c>
      <c r="W131" s="30" t="s">
        <v>173</v>
      </c>
      <c r="X131" s="30" t="s">
        <v>174</v>
      </c>
      <c r="Y131" s="30" t="s">
        <v>462</v>
      </c>
      <c r="Z131" s="30">
        <v>3</v>
      </c>
      <c r="AA131" s="30" t="s">
        <v>197</v>
      </c>
      <c r="AB131" s="30">
        <v>12</v>
      </c>
      <c r="AC131" s="30" t="s">
        <v>205</v>
      </c>
      <c r="AD131" s="30" t="s">
        <v>178</v>
      </c>
      <c r="AE131" s="30" t="s">
        <v>19</v>
      </c>
      <c r="AF131" s="30" t="s">
        <v>99</v>
      </c>
      <c r="AG131" s="30" t="s">
        <v>103</v>
      </c>
      <c r="AH131" s="30" t="s">
        <v>5</v>
      </c>
      <c r="AI131" s="30"/>
    </row>
    <row r="132" spans="1:35" x14ac:dyDescent="0.3">
      <c r="A132" s="30">
        <v>39</v>
      </c>
      <c r="B132" s="30" t="s">
        <v>389</v>
      </c>
      <c r="C132" s="30" t="s">
        <v>19</v>
      </c>
      <c r="D132" s="31">
        <v>46081</v>
      </c>
      <c r="E132" s="30">
        <v>1095</v>
      </c>
      <c r="F132" s="30">
        <v>0</v>
      </c>
      <c r="G132" s="32">
        <v>12298184</v>
      </c>
      <c r="H132" s="30">
        <v>296182179</v>
      </c>
      <c r="I132" s="30" t="s">
        <v>464</v>
      </c>
      <c r="J132" s="30" t="s">
        <v>180</v>
      </c>
      <c r="K132" s="30" t="s">
        <v>181</v>
      </c>
      <c r="L132" s="30" t="s">
        <v>203</v>
      </c>
      <c r="M132" s="30" t="s">
        <v>173</v>
      </c>
      <c r="N132" s="30" t="s">
        <v>167</v>
      </c>
      <c r="O132" s="30">
        <v>12298184</v>
      </c>
      <c r="P132" s="30">
        <v>1</v>
      </c>
      <c r="Q132" s="30" t="s">
        <v>168</v>
      </c>
      <c r="R132" s="30" t="s">
        <v>169</v>
      </c>
      <c r="S132" s="30" t="s">
        <v>170</v>
      </c>
      <c r="T132" s="30" t="s">
        <v>171</v>
      </c>
      <c r="U132" s="30" t="s">
        <v>19</v>
      </c>
      <c r="V132" s="30" t="s">
        <v>172</v>
      </c>
      <c r="W132" s="30" t="s">
        <v>173</v>
      </c>
      <c r="X132" s="30" t="s">
        <v>174</v>
      </c>
      <c r="Y132" s="30" t="s">
        <v>465</v>
      </c>
      <c r="Z132" s="30">
        <v>3</v>
      </c>
      <c r="AA132" s="30" t="s">
        <v>176</v>
      </c>
      <c r="AB132" s="30">
        <v>11</v>
      </c>
      <c r="AC132" s="30" t="s">
        <v>177</v>
      </c>
      <c r="AD132" s="30" t="s">
        <v>178</v>
      </c>
      <c r="AE132" s="30" t="s">
        <v>19</v>
      </c>
      <c r="AF132" s="30" t="s">
        <v>99</v>
      </c>
      <c r="AG132" s="30" t="s">
        <v>36</v>
      </c>
      <c r="AH132" s="30" t="s">
        <v>5</v>
      </c>
      <c r="AI132" s="30"/>
    </row>
    <row r="133" spans="1:35" x14ac:dyDescent="0.3">
      <c r="A133" s="30">
        <v>40</v>
      </c>
      <c r="B133" s="30" t="s">
        <v>389</v>
      </c>
      <c r="C133" s="30" t="s">
        <v>19</v>
      </c>
      <c r="D133" s="31">
        <v>46081</v>
      </c>
      <c r="E133" s="30">
        <v>1096</v>
      </c>
      <c r="F133" s="30">
        <v>0</v>
      </c>
      <c r="G133" s="32">
        <v>4910044</v>
      </c>
      <c r="H133" s="30">
        <v>301092223</v>
      </c>
      <c r="I133" s="30" t="s">
        <v>466</v>
      </c>
      <c r="J133" s="30" t="s">
        <v>163</v>
      </c>
      <c r="K133" s="30" t="s">
        <v>164</v>
      </c>
      <c r="L133" s="30" t="s">
        <v>203</v>
      </c>
      <c r="M133" s="30" t="s">
        <v>173</v>
      </c>
      <c r="N133" s="30" t="s">
        <v>167</v>
      </c>
      <c r="O133" s="30">
        <v>4910044</v>
      </c>
      <c r="P133" s="30">
        <v>1</v>
      </c>
      <c r="Q133" s="30" t="s">
        <v>168</v>
      </c>
      <c r="R133" s="30" t="s">
        <v>169</v>
      </c>
      <c r="S133" s="30" t="s">
        <v>170</v>
      </c>
      <c r="T133" s="30" t="s">
        <v>171</v>
      </c>
      <c r="U133" s="30" t="s">
        <v>19</v>
      </c>
      <c r="V133" s="30" t="s">
        <v>172</v>
      </c>
      <c r="W133" s="30" t="s">
        <v>173</v>
      </c>
      <c r="X133" s="30" t="s">
        <v>174</v>
      </c>
      <c r="Y133" s="30" t="s">
        <v>467</v>
      </c>
      <c r="Z133" s="30">
        <v>1</v>
      </c>
      <c r="AA133" s="30" t="s">
        <v>176</v>
      </c>
      <c r="AB133" s="30">
        <v>11</v>
      </c>
      <c r="AC133" s="30" t="s">
        <v>177</v>
      </c>
      <c r="AD133" s="30" t="s">
        <v>178</v>
      </c>
      <c r="AE133" s="30" t="s">
        <v>19</v>
      </c>
      <c r="AF133" s="30" t="s">
        <v>99</v>
      </c>
      <c r="AG133" s="30" t="s">
        <v>37</v>
      </c>
      <c r="AH133" s="30" t="s">
        <v>5</v>
      </c>
      <c r="AI133" s="30" t="s">
        <v>111</v>
      </c>
    </row>
    <row r="134" spans="1:35" x14ac:dyDescent="0.3">
      <c r="A134" s="30">
        <v>41</v>
      </c>
      <c r="B134" s="30" t="s">
        <v>389</v>
      </c>
      <c r="C134" s="30" t="s">
        <v>19</v>
      </c>
      <c r="D134" s="31">
        <v>46081</v>
      </c>
      <c r="E134" s="30">
        <v>1127</v>
      </c>
      <c r="F134" s="30">
        <v>0</v>
      </c>
      <c r="G134" s="32">
        <v>26720629</v>
      </c>
      <c r="H134" s="30">
        <v>327812852</v>
      </c>
      <c r="I134" s="30" t="s">
        <v>468</v>
      </c>
      <c r="J134" s="30" t="s">
        <v>432</v>
      </c>
      <c r="K134" s="30" t="s">
        <v>433</v>
      </c>
      <c r="L134" s="30" t="s">
        <v>203</v>
      </c>
      <c r="M134" s="30" t="s">
        <v>173</v>
      </c>
      <c r="N134" s="30" t="s">
        <v>167</v>
      </c>
      <c r="O134" s="30">
        <v>26720629</v>
      </c>
      <c r="P134" s="30">
        <v>1</v>
      </c>
      <c r="Q134" s="30" t="s">
        <v>168</v>
      </c>
      <c r="R134" s="30" t="s">
        <v>169</v>
      </c>
      <c r="S134" s="30"/>
      <c r="T134" s="30"/>
      <c r="U134" s="30"/>
      <c r="V134" s="30" t="s">
        <v>172</v>
      </c>
      <c r="W134" s="30" t="s">
        <v>173</v>
      </c>
      <c r="X134" s="30" t="s">
        <v>434</v>
      </c>
      <c r="Y134" s="30" t="s">
        <v>469</v>
      </c>
      <c r="Z134" s="30">
        <v>3</v>
      </c>
      <c r="AA134" s="30" t="s">
        <v>197</v>
      </c>
      <c r="AB134" s="30">
        <v>11</v>
      </c>
      <c r="AC134" s="30" t="s">
        <v>177</v>
      </c>
      <c r="AD134" s="30" t="s">
        <v>178</v>
      </c>
      <c r="AE134" s="30" t="s">
        <v>19</v>
      </c>
      <c r="AF134" s="30" t="s">
        <v>99</v>
      </c>
      <c r="AG134" s="30" t="s">
        <v>73</v>
      </c>
      <c r="AH134" s="30" t="s">
        <v>5</v>
      </c>
      <c r="AI134" s="30" t="s">
        <v>104</v>
      </c>
    </row>
    <row r="135" spans="1:35" x14ac:dyDescent="0.3">
      <c r="A135" s="30">
        <v>42</v>
      </c>
      <c r="B135" s="30" t="s">
        <v>389</v>
      </c>
      <c r="C135" s="30" t="s">
        <v>19</v>
      </c>
      <c r="D135" s="31">
        <v>46081</v>
      </c>
      <c r="E135" s="30">
        <v>1127</v>
      </c>
      <c r="F135" s="30">
        <v>0</v>
      </c>
      <c r="G135" s="32">
        <v>737592</v>
      </c>
      <c r="H135" s="30">
        <v>328550444</v>
      </c>
      <c r="I135" s="30" t="s">
        <v>470</v>
      </c>
      <c r="J135" s="30" t="s">
        <v>432</v>
      </c>
      <c r="K135" s="30" t="s">
        <v>433</v>
      </c>
      <c r="L135" s="30" t="s">
        <v>203</v>
      </c>
      <c r="M135" s="30" t="s">
        <v>173</v>
      </c>
      <c r="N135" s="30" t="s">
        <v>167</v>
      </c>
      <c r="O135" s="30">
        <v>737592</v>
      </c>
      <c r="P135" s="30">
        <v>1</v>
      </c>
      <c r="Q135" s="30" t="s">
        <v>168</v>
      </c>
      <c r="R135" s="30" t="s">
        <v>169</v>
      </c>
      <c r="S135" s="30"/>
      <c r="T135" s="30"/>
      <c r="U135" s="30"/>
      <c r="V135" s="30" t="s">
        <v>172</v>
      </c>
      <c r="W135" s="30" t="s">
        <v>173</v>
      </c>
      <c r="X135" s="30" t="s">
        <v>434</v>
      </c>
      <c r="Y135" s="30" t="s">
        <v>469</v>
      </c>
      <c r="Z135" s="30">
        <v>6</v>
      </c>
      <c r="AA135" s="30" t="s">
        <v>197</v>
      </c>
      <c r="AB135" s="30">
        <v>11</v>
      </c>
      <c r="AC135" s="30" t="s">
        <v>177</v>
      </c>
      <c r="AD135" s="30" t="s">
        <v>178</v>
      </c>
      <c r="AE135" s="30" t="s">
        <v>19</v>
      </c>
      <c r="AF135" s="30" t="s">
        <v>99</v>
      </c>
      <c r="AG135" s="30" t="s">
        <v>73</v>
      </c>
      <c r="AH135" s="30" t="s">
        <v>5</v>
      </c>
      <c r="AI135" s="30" t="s">
        <v>104</v>
      </c>
    </row>
    <row r="136" spans="1:35" x14ac:dyDescent="0.3">
      <c r="A136" s="30">
        <v>43</v>
      </c>
      <c r="B136" s="30" t="s">
        <v>389</v>
      </c>
      <c r="C136" s="30" t="s">
        <v>19</v>
      </c>
      <c r="D136" s="31">
        <v>46081</v>
      </c>
      <c r="E136" s="30">
        <v>1127</v>
      </c>
      <c r="F136" s="30">
        <v>0</v>
      </c>
      <c r="G136" s="32">
        <v>1943809</v>
      </c>
      <c r="H136" s="30">
        <v>330494253</v>
      </c>
      <c r="I136" s="30" t="s">
        <v>471</v>
      </c>
      <c r="J136" s="30" t="s">
        <v>432</v>
      </c>
      <c r="K136" s="30" t="s">
        <v>433</v>
      </c>
      <c r="L136" s="30" t="s">
        <v>203</v>
      </c>
      <c r="M136" s="30" t="s">
        <v>173</v>
      </c>
      <c r="N136" s="30" t="s">
        <v>167</v>
      </c>
      <c r="O136" s="30">
        <v>1943809</v>
      </c>
      <c r="P136" s="30">
        <v>1</v>
      </c>
      <c r="Q136" s="30" t="s">
        <v>168</v>
      </c>
      <c r="R136" s="30" t="s">
        <v>169</v>
      </c>
      <c r="S136" s="30"/>
      <c r="T136" s="30"/>
      <c r="U136" s="30"/>
      <c r="V136" s="30" t="s">
        <v>172</v>
      </c>
      <c r="W136" s="30" t="s">
        <v>173</v>
      </c>
      <c r="X136" s="30" t="s">
        <v>434</v>
      </c>
      <c r="Y136" s="30" t="s">
        <v>469</v>
      </c>
      <c r="Z136" s="30">
        <v>9</v>
      </c>
      <c r="AA136" s="30" t="s">
        <v>197</v>
      </c>
      <c r="AB136" s="30">
        <v>11</v>
      </c>
      <c r="AC136" s="30" t="s">
        <v>177</v>
      </c>
      <c r="AD136" s="30" t="s">
        <v>178</v>
      </c>
      <c r="AE136" s="30" t="s">
        <v>19</v>
      </c>
      <c r="AF136" s="30" t="s">
        <v>99</v>
      </c>
      <c r="AG136" s="30" t="s">
        <v>73</v>
      </c>
      <c r="AH136" s="30" t="s">
        <v>5</v>
      </c>
      <c r="AI136" s="30" t="s">
        <v>104</v>
      </c>
    </row>
    <row r="137" spans="1:35" x14ac:dyDescent="0.3">
      <c r="A137" s="30">
        <v>44</v>
      </c>
      <c r="B137" s="30" t="s">
        <v>389</v>
      </c>
      <c r="C137" s="30" t="s">
        <v>19</v>
      </c>
      <c r="D137" s="31">
        <v>46081</v>
      </c>
      <c r="E137" s="30">
        <v>1127</v>
      </c>
      <c r="F137" s="30">
        <v>0</v>
      </c>
      <c r="G137" s="32">
        <v>16937</v>
      </c>
      <c r="H137" s="30">
        <v>330511190</v>
      </c>
      <c r="I137" s="30" t="s">
        <v>472</v>
      </c>
      <c r="J137" s="30" t="s">
        <v>432</v>
      </c>
      <c r="K137" s="30" t="s">
        <v>433</v>
      </c>
      <c r="L137" s="30" t="s">
        <v>203</v>
      </c>
      <c r="M137" s="30" t="s">
        <v>173</v>
      </c>
      <c r="N137" s="30" t="s">
        <v>167</v>
      </c>
      <c r="O137" s="30">
        <v>16937</v>
      </c>
      <c r="P137" s="30">
        <v>1</v>
      </c>
      <c r="Q137" s="30" t="s">
        <v>168</v>
      </c>
      <c r="R137" s="30" t="s">
        <v>169</v>
      </c>
      <c r="S137" s="30"/>
      <c r="T137" s="30"/>
      <c r="U137" s="30"/>
      <c r="V137" s="30" t="s">
        <v>172</v>
      </c>
      <c r="W137" s="30" t="s">
        <v>173</v>
      </c>
      <c r="X137" s="30" t="s">
        <v>434</v>
      </c>
      <c r="Y137" s="30" t="s">
        <v>469</v>
      </c>
      <c r="Z137" s="30">
        <v>12</v>
      </c>
      <c r="AA137" s="30" t="s">
        <v>197</v>
      </c>
      <c r="AB137" s="30">
        <v>11</v>
      </c>
      <c r="AC137" s="30" t="s">
        <v>177</v>
      </c>
      <c r="AD137" s="30" t="s">
        <v>178</v>
      </c>
      <c r="AE137" s="30" t="s">
        <v>19</v>
      </c>
      <c r="AF137" s="30" t="s">
        <v>99</v>
      </c>
      <c r="AG137" s="30" t="s">
        <v>73</v>
      </c>
      <c r="AH137" s="30" t="s">
        <v>5</v>
      </c>
      <c r="AI137" s="30" t="s">
        <v>104</v>
      </c>
    </row>
    <row r="138" spans="1:35" x14ac:dyDescent="0.3">
      <c r="A138" s="30">
        <v>45</v>
      </c>
      <c r="B138" s="30" t="s">
        <v>389</v>
      </c>
      <c r="C138" s="30" t="s">
        <v>19</v>
      </c>
      <c r="D138" s="31">
        <v>46081</v>
      </c>
      <c r="E138" s="30">
        <v>1128</v>
      </c>
      <c r="F138" s="30">
        <v>0</v>
      </c>
      <c r="G138" s="32">
        <v>6534</v>
      </c>
      <c r="H138" s="30">
        <v>330517724</v>
      </c>
      <c r="I138" s="30" t="s">
        <v>473</v>
      </c>
      <c r="J138" s="30" t="s">
        <v>432</v>
      </c>
      <c r="K138" s="30" t="s">
        <v>433</v>
      </c>
      <c r="L138" s="30" t="s">
        <v>194</v>
      </c>
      <c r="M138" s="30" t="s">
        <v>195</v>
      </c>
      <c r="N138" s="30" t="s">
        <v>167</v>
      </c>
      <c r="O138" s="30">
        <v>6534</v>
      </c>
      <c r="P138" s="30">
        <v>1</v>
      </c>
      <c r="Q138" s="30" t="s">
        <v>168</v>
      </c>
      <c r="R138" s="30" t="s">
        <v>169</v>
      </c>
      <c r="S138" s="30"/>
      <c r="T138" s="30"/>
      <c r="U138" s="30"/>
      <c r="V138" s="30" t="s">
        <v>172</v>
      </c>
      <c r="W138" s="30" t="s">
        <v>173</v>
      </c>
      <c r="X138" s="30" t="s">
        <v>434</v>
      </c>
      <c r="Y138" s="30" t="s">
        <v>474</v>
      </c>
      <c r="Z138" s="30">
        <v>3</v>
      </c>
      <c r="AA138" s="30" t="s">
        <v>197</v>
      </c>
      <c r="AB138" s="30">
        <v>11</v>
      </c>
      <c r="AC138" s="30" t="s">
        <v>177</v>
      </c>
      <c r="AD138" s="30" t="s">
        <v>178</v>
      </c>
      <c r="AE138" s="30" t="s">
        <v>19</v>
      </c>
      <c r="AF138" s="30" t="s">
        <v>99</v>
      </c>
      <c r="AG138" s="30" t="s">
        <v>73</v>
      </c>
      <c r="AH138" s="30" t="s">
        <v>5</v>
      </c>
      <c r="AI138" s="30" t="s">
        <v>104</v>
      </c>
    </row>
    <row r="139" spans="1:35" x14ac:dyDescent="0.3">
      <c r="A139" s="30">
        <v>46</v>
      </c>
      <c r="B139" s="30" t="s">
        <v>389</v>
      </c>
      <c r="C139" s="30" t="s">
        <v>19</v>
      </c>
      <c r="D139" s="31">
        <v>46081</v>
      </c>
      <c r="E139" s="30">
        <v>1128</v>
      </c>
      <c r="F139" s="30">
        <v>0</v>
      </c>
      <c r="G139" s="32">
        <v>15483288</v>
      </c>
      <c r="H139" s="30">
        <v>346001012</v>
      </c>
      <c r="I139" s="30" t="s">
        <v>475</v>
      </c>
      <c r="J139" s="30" t="s">
        <v>432</v>
      </c>
      <c r="K139" s="30" t="s">
        <v>433</v>
      </c>
      <c r="L139" s="30" t="s">
        <v>194</v>
      </c>
      <c r="M139" s="30" t="s">
        <v>195</v>
      </c>
      <c r="N139" s="30" t="s">
        <v>167</v>
      </c>
      <c r="O139" s="30">
        <v>15483288</v>
      </c>
      <c r="P139" s="30">
        <v>1</v>
      </c>
      <c r="Q139" s="30" t="s">
        <v>168</v>
      </c>
      <c r="R139" s="30" t="s">
        <v>169</v>
      </c>
      <c r="S139" s="30"/>
      <c r="T139" s="30"/>
      <c r="U139" s="30"/>
      <c r="V139" s="30" t="s">
        <v>172</v>
      </c>
      <c r="W139" s="30" t="s">
        <v>173</v>
      </c>
      <c r="X139" s="30" t="s">
        <v>434</v>
      </c>
      <c r="Y139" s="30" t="s">
        <v>474</v>
      </c>
      <c r="Z139" s="30">
        <v>6</v>
      </c>
      <c r="AA139" s="30" t="s">
        <v>197</v>
      </c>
      <c r="AB139" s="30">
        <v>11</v>
      </c>
      <c r="AC139" s="30" t="s">
        <v>177</v>
      </c>
      <c r="AD139" s="30" t="s">
        <v>178</v>
      </c>
      <c r="AE139" s="30" t="s">
        <v>19</v>
      </c>
      <c r="AF139" s="30" t="s">
        <v>99</v>
      </c>
      <c r="AG139" s="30" t="s">
        <v>73</v>
      </c>
      <c r="AH139" s="30" t="s">
        <v>5</v>
      </c>
      <c r="AI139" s="30" t="s">
        <v>104</v>
      </c>
    </row>
    <row r="140" spans="1:35" x14ac:dyDescent="0.3">
      <c r="A140" s="30">
        <v>47</v>
      </c>
      <c r="B140" s="30" t="s">
        <v>389</v>
      </c>
      <c r="C140" s="30" t="s">
        <v>19</v>
      </c>
      <c r="D140" s="31">
        <v>46081</v>
      </c>
      <c r="E140" s="30">
        <v>1129</v>
      </c>
      <c r="F140" s="30">
        <v>0</v>
      </c>
      <c r="G140" s="32">
        <v>49977328</v>
      </c>
      <c r="H140" s="30">
        <v>395978340</v>
      </c>
      <c r="I140" s="30" t="s">
        <v>476</v>
      </c>
      <c r="J140" s="30" t="s">
        <v>443</v>
      </c>
      <c r="K140" s="30" t="s">
        <v>444</v>
      </c>
      <c r="L140" s="30" t="s">
        <v>194</v>
      </c>
      <c r="M140" s="30" t="s">
        <v>195</v>
      </c>
      <c r="N140" s="30" t="s">
        <v>167</v>
      </c>
      <c r="O140" s="30">
        <v>49977328</v>
      </c>
      <c r="P140" s="30">
        <v>1</v>
      </c>
      <c r="Q140" s="30" t="s">
        <v>168</v>
      </c>
      <c r="R140" s="30" t="s">
        <v>169</v>
      </c>
      <c r="S140" s="30"/>
      <c r="T140" s="30"/>
      <c r="U140" s="30"/>
      <c r="V140" s="30" t="s">
        <v>172</v>
      </c>
      <c r="W140" s="30" t="s">
        <v>173</v>
      </c>
      <c r="X140" s="30" t="s">
        <v>434</v>
      </c>
      <c r="Y140" s="30" t="s">
        <v>477</v>
      </c>
      <c r="Z140" s="30">
        <v>3</v>
      </c>
      <c r="AA140" s="30" t="s">
        <v>197</v>
      </c>
      <c r="AB140" s="30">
        <v>11</v>
      </c>
      <c r="AC140" s="30" t="s">
        <v>177</v>
      </c>
      <c r="AD140" s="30" t="s">
        <v>178</v>
      </c>
      <c r="AE140" s="30" t="s">
        <v>19</v>
      </c>
      <c r="AF140" s="30" t="s">
        <v>99</v>
      </c>
      <c r="AG140" s="30" t="s">
        <v>74</v>
      </c>
      <c r="AH140" s="30" t="s">
        <v>5</v>
      </c>
      <c r="AI140" s="30" t="s">
        <v>104</v>
      </c>
    </row>
    <row r="141" spans="1:35" x14ac:dyDescent="0.3">
      <c r="A141" s="30">
        <v>51</v>
      </c>
      <c r="B141" s="30" t="s">
        <v>389</v>
      </c>
      <c r="C141" s="30" t="s">
        <v>19</v>
      </c>
      <c r="D141" s="31">
        <v>46112</v>
      </c>
      <c r="E141" s="30">
        <v>200</v>
      </c>
      <c r="F141" s="30">
        <v>0</v>
      </c>
      <c r="G141" s="32">
        <v>40330</v>
      </c>
      <c r="H141" s="30">
        <v>40330</v>
      </c>
      <c r="I141" s="30" t="s">
        <v>478</v>
      </c>
      <c r="J141" s="30" t="s">
        <v>192</v>
      </c>
      <c r="K141" s="30" t="s">
        <v>193</v>
      </c>
      <c r="L141" s="30" t="s">
        <v>226</v>
      </c>
      <c r="M141" s="30" t="s">
        <v>227</v>
      </c>
      <c r="N141" s="30" t="s">
        <v>167</v>
      </c>
      <c r="O141" s="30">
        <v>40330</v>
      </c>
      <c r="P141" s="30">
        <v>1</v>
      </c>
      <c r="Q141" s="30" t="s">
        <v>168</v>
      </c>
      <c r="R141" s="30" t="s">
        <v>169</v>
      </c>
      <c r="S141" s="30" t="s">
        <v>170</v>
      </c>
      <c r="T141" s="30" t="s">
        <v>171</v>
      </c>
      <c r="U141" s="30" t="s">
        <v>19</v>
      </c>
      <c r="V141" s="30" t="s">
        <v>172</v>
      </c>
      <c r="W141" s="30" t="s">
        <v>282</v>
      </c>
      <c r="X141" s="30" t="s">
        <v>174</v>
      </c>
      <c r="Y141" s="30" t="s">
        <v>479</v>
      </c>
      <c r="Z141" s="30">
        <v>1</v>
      </c>
      <c r="AA141" s="30" t="s">
        <v>176</v>
      </c>
      <c r="AB141" s="30">
        <v>11</v>
      </c>
      <c r="AC141" s="30" t="s">
        <v>177</v>
      </c>
      <c r="AD141" s="30" t="s">
        <v>178</v>
      </c>
      <c r="AE141" s="30" t="s">
        <v>19</v>
      </c>
      <c r="AF141" s="30" t="s">
        <v>99</v>
      </c>
      <c r="AG141" s="30" t="s">
        <v>109</v>
      </c>
      <c r="AH141" s="30" t="s">
        <v>6</v>
      </c>
      <c r="AI141" s="30"/>
    </row>
    <row r="142" spans="1:35" x14ac:dyDescent="0.3">
      <c r="A142" s="30">
        <v>52</v>
      </c>
      <c r="B142" s="30" t="s">
        <v>389</v>
      </c>
      <c r="C142" s="30" t="s">
        <v>19</v>
      </c>
      <c r="D142" s="31">
        <v>46112</v>
      </c>
      <c r="E142" s="30">
        <v>201</v>
      </c>
      <c r="F142" s="30">
        <v>0</v>
      </c>
      <c r="G142" s="32">
        <v>500000</v>
      </c>
      <c r="H142" s="30">
        <v>540330</v>
      </c>
      <c r="I142" s="30" t="s">
        <v>480</v>
      </c>
      <c r="J142" s="30" t="s">
        <v>199</v>
      </c>
      <c r="K142" s="30" t="s">
        <v>200</v>
      </c>
      <c r="L142" s="30" t="s">
        <v>481</v>
      </c>
      <c r="M142" s="30" t="s">
        <v>245</v>
      </c>
      <c r="N142" s="30" t="s">
        <v>167</v>
      </c>
      <c r="O142" s="30">
        <v>500000</v>
      </c>
      <c r="P142" s="30">
        <v>1</v>
      </c>
      <c r="Q142" s="30" t="s">
        <v>168</v>
      </c>
      <c r="R142" s="30" t="s">
        <v>169</v>
      </c>
      <c r="S142" s="30" t="s">
        <v>170</v>
      </c>
      <c r="T142" s="30" t="s">
        <v>171</v>
      </c>
      <c r="U142" s="30" t="s">
        <v>19</v>
      </c>
      <c r="V142" s="30" t="s">
        <v>172</v>
      </c>
      <c r="W142" s="30" t="s">
        <v>282</v>
      </c>
      <c r="X142" s="30" t="s">
        <v>174</v>
      </c>
      <c r="Y142" s="30" t="s">
        <v>482</v>
      </c>
      <c r="Z142" s="30">
        <v>1</v>
      </c>
      <c r="AA142" s="30" t="s">
        <v>176</v>
      </c>
      <c r="AB142" s="30">
        <v>11</v>
      </c>
      <c r="AC142" s="30" t="s">
        <v>177</v>
      </c>
      <c r="AD142" s="30" t="s">
        <v>178</v>
      </c>
      <c r="AE142" s="30" t="s">
        <v>19</v>
      </c>
      <c r="AF142" s="30" t="s">
        <v>99</v>
      </c>
      <c r="AG142" s="30" t="s">
        <v>107</v>
      </c>
      <c r="AH142" s="30" t="s">
        <v>6</v>
      </c>
      <c r="AI142" s="30" t="s">
        <v>108</v>
      </c>
    </row>
    <row r="143" spans="1:35" x14ac:dyDescent="0.3">
      <c r="A143" s="30">
        <v>53</v>
      </c>
      <c r="B143" s="30" t="s">
        <v>389</v>
      </c>
      <c r="C143" s="30" t="s">
        <v>19</v>
      </c>
      <c r="D143" s="31">
        <v>46112</v>
      </c>
      <c r="E143" s="30">
        <v>202</v>
      </c>
      <c r="F143" s="30">
        <v>0</v>
      </c>
      <c r="G143" s="32">
        <v>2700000</v>
      </c>
      <c r="H143" s="30">
        <v>3240330</v>
      </c>
      <c r="I143" s="30" t="s">
        <v>483</v>
      </c>
      <c r="J143" s="30" t="s">
        <v>192</v>
      </c>
      <c r="K143" s="30" t="s">
        <v>193</v>
      </c>
      <c r="L143" s="30" t="s">
        <v>481</v>
      </c>
      <c r="M143" s="30" t="s">
        <v>245</v>
      </c>
      <c r="N143" s="30" t="s">
        <v>167</v>
      </c>
      <c r="O143" s="30">
        <v>2700000</v>
      </c>
      <c r="P143" s="30">
        <v>1</v>
      </c>
      <c r="Q143" s="30" t="s">
        <v>168</v>
      </c>
      <c r="R143" s="30" t="s">
        <v>169</v>
      </c>
      <c r="S143" s="30" t="s">
        <v>170</v>
      </c>
      <c r="T143" s="30" t="s">
        <v>171</v>
      </c>
      <c r="U143" s="30" t="s">
        <v>19</v>
      </c>
      <c r="V143" s="30" t="s">
        <v>172</v>
      </c>
      <c r="W143" s="30" t="s">
        <v>282</v>
      </c>
      <c r="X143" s="30" t="s">
        <v>174</v>
      </c>
      <c r="Y143" s="30" t="s">
        <v>484</v>
      </c>
      <c r="Z143" s="30">
        <v>1</v>
      </c>
      <c r="AA143" s="30" t="s">
        <v>176</v>
      </c>
      <c r="AB143" s="30">
        <v>11</v>
      </c>
      <c r="AC143" s="30" t="s">
        <v>177</v>
      </c>
      <c r="AD143" s="30" t="s">
        <v>178</v>
      </c>
      <c r="AE143" s="30" t="s">
        <v>19</v>
      </c>
      <c r="AF143" s="30" t="s">
        <v>99</v>
      </c>
      <c r="AG143" s="30" t="s">
        <v>109</v>
      </c>
      <c r="AH143" s="30" t="s">
        <v>6</v>
      </c>
      <c r="AI143" s="30"/>
    </row>
    <row r="144" spans="1:35" x14ac:dyDescent="0.3">
      <c r="A144" s="30">
        <v>54</v>
      </c>
      <c r="B144" s="30" t="s">
        <v>389</v>
      </c>
      <c r="C144" s="30" t="s">
        <v>19</v>
      </c>
      <c r="D144" s="31">
        <v>46112</v>
      </c>
      <c r="E144" s="30">
        <v>206</v>
      </c>
      <c r="F144" s="30">
        <v>0</v>
      </c>
      <c r="G144" s="32">
        <v>217780072</v>
      </c>
      <c r="H144" s="30">
        <v>221020402</v>
      </c>
      <c r="I144" s="30" t="s">
        <v>485</v>
      </c>
      <c r="J144" s="30" t="s">
        <v>163</v>
      </c>
      <c r="K144" s="30" t="s">
        <v>164</v>
      </c>
      <c r="L144" s="30" t="s">
        <v>203</v>
      </c>
      <c r="M144" s="30" t="s">
        <v>173</v>
      </c>
      <c r="N144" s="30" t="s">
        <v>167</v>
      </c>
      <c r="O144" s="30">
        <v>217780072</v>
      </c>
      <c r="P144" s="30">
        <v>1</v>
      </c>
      <c r="Q144" s="30" t="s">
        <v>168</v>
      </c>
      <c r="R144" s="30" t="s">
        <v>169</v>
      </c>
      <c r="S144" s="30"/>
      <c r="T144" s="30"/>
      <c r="U144" s="30"/>
      <c r="V144" s="30" t="s">
        <v>172</v>
      </c>
      <c r="W144" s="30" t="s">
        <v>282</v>
      </c>
      <c r="X144" s="30" t="s">
        <v>174</v>
      </c>
      <c r="Y144" s="30" t="s">
        <v>486</v>
      </c>
      <c r="Z144" s="30">
        <v>2</v>
      </c>
      <c r="AA144" s="30" t="s">
        <v>197</v>
      </c>
      <c r="AB144" s="30">
        <v>11</v>
      </c>
      <c r="AC144" s="30" t="s">
        <v>177</v>
      </c>
      <c r="AD144" s="30" t="s">
        <v>178</v>
      </c>
      <c r="AE144" s="30" t="s">
        <v>19</v>
      </c>
      <c r="AF144" s="30" t="s">
        <v>99</v>
      </c>
      <c r="AG144" s="30" t="s">
        <v>37</v>
      </c>
      <c r="AH144" s="30" t="s">
        <v>6</v>
      </c>
      <c r="AI144" s="30" t="s">
        <v>111</v>
      </c>
    </row>
    <row r="145" spans="1:35" x14ac:dyDescent="0.3">
      <c r="A145" s="30">
        <v>55</v>
      </c>
      <c r="B145" s="30" t="s">
        <v>389</v>
      </c>
      <c r="C145" s="30" t="s">
        <v>19</v>
      </c>
      <c r="D145" s="31">
        <v>46112</v>
      </c>
      <c r="E145" s="30">
        <v>204</v>
      </c>
      <c r="F145" s="30">
        <v>0</v>
      </c>
      <c r="G145" s="32">
        <v>1527956</v>
      </c>
      <c r="H145" s="30">
        <v>222548358</v>
      </c>
      <c r="I145" s="30" t="s">
        <v>487</v>
      </c>
      <c r="J145" s="30" t="s">
        <v>180</v>
      </c>
      <c r="K145" s="30" t="s">
        <v>181</v>
      </c>
      <c r="L145" s="30" t="s">
        <v>203</v>
      </c>
      <c r="M145" s="30" t="s">
        <v>173</v>
      </c>
      <c r="N145" s="30" t="s">
        <v>167</v>
      </c>
      <c r="O145" s="30">
        <v>1527956</v>
      </c>
      <c r="P145" s="30">
        <v>1</v>
      </c>
      <c r="Q145" s="30" t="s">
        <v>168</v>
      </c>
      <c r="R145" s="30" t="s">
        <v>169</v>
      </c>
      <c r="S145" s="30"/>
      <c r="T145" s="30"/>
      <c r="U145" s="30"/>
      <c r="V145" s="30" t="s">
        <v>172</v>
      </c>
      <c r="W145" s="30" t="s">
        <v>282</v>
      </c>
      <c r="X145" s="30" t="s">
        <v>174</v>
      </c>
      <c r="Y145" s="30" t="s">
        <v>488</v>
      </c>
      <c r="Z145" s="30">
        <v>1</v>
      </c>
      <c r="AA145" s="30" t="s">
        <v>197</v>
      </c>
      <c r="AB145" s="30">
        <v>11</v>
      </c>
      <c r="AC145" s="30" t="s">
        <v>177</v>
      </c>
      <c r="AD145" s="30" t="s">
        <v>178</v>
      </c>
      <c r="AE145" s="30" t="s">
        <v>19</v>
      </c>
      <c r="AF145" s="30" t="s">
        <v>99</v>
      </c>
      <c r="AG145" s="30" t="s">
        <v>36</v>
      </c>
      <c r="AH145" s="30" t="s">
        <v>6</v>
      </c>
      <c r="AI145" s="30"/>
    </row>
    <row r="146" spans="1:35" x14ac:dyDescent="0.3">
      <c r="A146" s="30">
        <v>56</v>
      </c>
      <c r="B146" s="30" t="s">
        <v>389</v>
      </c>
      <c r="C146" s="30" t="s">
        <v>19</v>
      </c>
      <c r="D146" s="31">
        <v>46112</v>
      </c>
      <c r="E146" s="30">
        <v>211</v>
      </c>
      <c r="F146" s="30">
        <v>0</v>
      </c>
      <c r="G146" s="32">
        <v>2387716</v>
      </c>
      <c r="H146" s="30">
        <v>224936074</v>
      </c>
      <c r="I146" s="30" t="s">
        <v>489</v>
      </c>
      <c r="J146" s="30" t="s">
        <v>387</v>
      </c>
      <c r="K146" s="30" t="s">
        <v>388</v>
      </c>
      <c r="L146" s="30" t="s">
        <v>203</v>
      </c>
      <c r="M146" s="30" t="s">
        <v>173</v>
      </c>
      <c r="N146" s="30" t="s">
        <v>397</v>
      </c>
      <c r="O146" s="30">
        <v>1645.59</v>
      </c>
      <c r="P146" s="30">
        <v>1450.98</v>
      </c>
      <c r="Q146" s="30" t="s">
        <v>168</v>
      </c>
      <c r="R146" s="30" t="s">
        <v>169</v>
      </c>
      <c r="S146" s="30"/>
      <c r="T146" s="30"/>
      <c r="U146" s="30"/>
      <c r="V146" s="30" t="s">
        <v>172</v>
      </c>
      <c r="W146" s="30" t="s">
        <v>282</v>
      </c>
      <c r="X146" s="30" t="s">
        <v>174</v>
      </c>
      <c r="Y146" s="30" t="s">
        <v>490</v>
      </c>
      <c r="Z146" s="30">
        <v>2</v>
      </c>
      <c r="AA146" s="30" t="s">
        <v>197</v>
      </c>
      <c r="AB146" s="30">
        <v>11</v>
      </c>
      <c r="AC146" s="30" t="s">
        <v>177</v>
      </c>
      <c r="AD146" s="30" t="s">
        <v>178</v>
      </c>
      <c r="AE146" s="30" t="s">
        <v>19</v>
      </c>
      <c r="AF146" s="30" t="s">
        <v>99</v>
      </c>
      <c r="AG146" s="30" t="s">
        <v>105</v>
      </c>
      <c r="AH146" s="30" t="s">
        <v>6</v>
      </c>
      <c r="AI146" s="30" t="s">
        <v>106</v>
      </c>
    </row>
    <row r="147" spans="1:35" x14ac:dyDescent="0.3">
      <c r="A147" s="30">
        <v>57</v>
      </c>
      <c r="B147" s="30" t="s">
        <v>389</v>
      </c>
      <c r="C147" s="30" t="s">
        <v>19</v>
      </c>
      <c r="D147" s="31">
        <v>46112</v>
      </c>
      <c r="E147" s="30">
        <v>212</v>
      </c>
      <c r="F147" s="30">
        <v>0</v>
      </c>
      <c r="G147" s="32">
        <v>28476081</v>
      </c>
      <c r="H147" s="30">
        <v>253412155</v>
      </c>
      <c r="I147" s="30" t="s">
        <v>491</v>
      </c>
      <c r="J147" s="30" t="s">
        <v>410</v>
      </c>
      <c r="K147" s="30" t="s">
        <v>411</v>
      </c>
      <c r="L147" s="30" t="s">
        <v>203</v>
      </c>
      <c r="M147" s="30" t="s">
        <v>173</v>
      </c>
      <c r="N147" s="30" t="s">
        <v>397</v>
      </c>
      <c r="O147" s="30">
        <v>19625.41</v>
      </c>
      <c r="P147" s="30">
        <v>1450.98</v>
      </c>
      <c r="Q147" s="30" t="s">
        <v>412</v>
      </c>
      <c r="R147" s="30" t="s">
        <v>413</v>
      </c>
      <c r="S147" s="30"/>
      <c r="T147" s="30"/>
      <c r="U147" s="30"/>
      <c r="V147" s="30" t="s">
        <v>172</v>
      </c>
      <c r="W147" s="30" t="s">
        <v>282</v>
      </c>
      <c r="X147" s="30" t="s">
        <v>174</v>
      </c>
      <c r="Y147" s="30" t="s">
        <v>492</v>
      </c>
      <c r="Z147" s="30">
        <v>1</v>
      </c>
      <c r="AA147" s="30" t="s">
        <v>197</v>
      </c>
      <c r="AB147" s="30">
        <v>11</v>
      </c>
      <c r="AC147" s="30" t="s">
        <v>177</v>
      </c>
      <c r="AD147" s="30" t="s">
        <v>178</v>
      </c>
      <c r="AE147" s="30" t="s">
        <v>19</v>
      </c>
      <c r="AF147" s="30" t="s">
        <v>99</v>
      </c>
      <c r="AG147" s="30" t="s">
        <v>103</v>
      </c>
      <c r="AH147" s="30" t="s">
        <v>6</v>
      </c>
      <c r="AI147" s="30"/>
    </row>
    <row r="148" spans="1:35" x14ac:dyDescent="0.3">
      <c r="A148" s="30">
        <v>58</v>
      </c>
      <c r="B148" s="30" t="s">
        <v>389</v>
      </c>
      <c r="C148" s="30" t="s">
        <v>19</v>
      </c>
      <c r="D148" s="31">
        <v>46112</v>
      </c>
      <c r="E148" s="30">
        <v>213</v>
      </c>
      <c r="F148" s="30">
        <v>0</v>
      </c>
      <c r="G148" s="32">
        <v>4640756</v>
      </c>
      <c r="H148" s="30">
        <v>258052911</v>
      </c>
      <c r="I148" s="30" t="s">
        <v>493</v>
      </c>
      <c r="J148" s="30" t="s">
        <v>410</v>
      </c>
      <c r="K148" s="30" t="s">
        <v>411</v>
      </c>
      <c r="L148" s="30" t="s">
        <v>203</v>
      </c>
      <c r="M148" s="30" t="s">
        <v>173</v>
      </c>
      <c r="N148" s="30" t="s">
        <v>397</v>
      </c>
      <c r="O148" s="30">
        <v>3198.36</v>
      </c>
      <c r="P148" s="30">
        <v>1450.98</v>
      </c>
      <c r="Q148" s="30" t="s">
        <v>168</v>
      </c>
      <c r="R148" s="30" t="s">
        <v>169</v>
      </c>
      <c r="S148" s="30"/>
      <c r="T148" s="30"/>
      <c r="U148" s="30"/>
      <c r="V148" s="30" t="s">
        <v>172</v>
      </c>
      <c r="W148" s="30" t="s">
        <v>282</v>
      </c>
      <c r="X148" s="30" t="s">
        <v>174</v>
      </c>
      <c r="Y148" s="30" t="s">
        <v>494</v>
      </c>
      <c r="Z148" s="30">
        <v>1</v>
      </c>
      <c r="AA148" s="30" t="s">
        <v>197</v>
      </c>
      <c r="AB148" s="30">
        <v>11</v>
      </c>
      <c r="AC148" s="30" t="s">
        <v>177</v>
      </c>
      <c r="AD148" s="30" t="s">
        <v>178</v>
      </c>
      <c r="AE148" s="30" t="s">
        <v>19</v>
      </c>
      <c r="AF148" s="30" t="s">
        <v>99</v>
      </c>
      <c r="AG148" s="30" t="s">
        <v>103</v>
      </c>
      <c r="AH148" s="30" t="s">
        <v>6</v>
      </c>
      <c r="AI148" s="30"/>
    </row>
    <row r="149" spans="1:35" x14ac:dyDescent="0.3">
      <c r="A149" s="30">
        <v>59</v>
      </c>
      <c r="B149" s="30" t="s">
        <v>389</v>
      </c>
      <c r="C149" s="30" t="s">
        <v>19</v>
      </c>
      <c r="D149" s="31">
        <v>46112</v>
      </c>
      <c r="E149" s="30">
        <v>1337</v>
      </c>
      <c r="F149" s="30">
        <v>0</v>
      </c>
      <c r="G149" s="32">
        <v>27408686</v>
      </c>
      <c r="H149" s="30">
        <v>285461597</v>
      </c>
      <c r="I149" s="30" t="s">
        <v>495</v>
      </c>
      <c r="J149" s="30" t="s">
        <v>432</v>
      </c>
      <c r="K149" s="30" t="s">
        <v>433</v>
      </c>
      <c r="L149" s="30" t="s">
        <v>203</v>
      </c>
      <c r="M149" s="30" t="s">
        <v>173</v>
      </c>
      <c r="N149" s="30" t="s">
        <v>167</v>
      </c>
      <c r="O149" s="30">
        <v>27408686</v>
      </c>
      <c r="P149" s="30">
        <v>1</v>
      </c>
      <c r="Q149" s="30" t="s">
        <v>168</v>
      </c>
      <c r="R149" s="30" t="s">
        <v>169</v>
      </c>
      <c r="S149" s="30"/>
      <c r="T149" s="30"/>
      <c r="U149" s="30"/>
      <c r="V149" s="30" t="s">
        <v>172</v>
      </c>
      <c r="W149" s="30" t="s">
        <v>282</v>
      </c>
      <c r="X149" s="30" t="s">
        <v>434</v>
      </c>
      <c r="Y149" s="30" t="s">
        <v>496</v>
      </c>
      <c r="Z149" s="30">
        <v>3</v>
      </c>
      <c r="AA149" s="30" t="s">
        <v>197</v>
      </c>
      <c r="AB149" s="30">
        <v>11</v>
      </c>
      <c r="AC149" s="30" t="s">
        <v>177</v>
      </c>
      <c r="AD149" s="30" t="s">
        <v>178</v>
      </c>
      <c r="AE149" s="30" t="s">
        <v>19</v>
      </c>
      <c r="AF149" s="30" t="s">
        <v>99</v>
      </c>
      <c r="AG149" s="30" t="s">
        <v>73</v>
      </c>
      <c r="AH149" s="30" t="s">
        <v>6</v>
      </c>
      <c r="AI149" s="30" t="s">
        <v>104</v>
      </c>
    </row>
    <row r="150" spans="1:35" x14ac:dyDescent="0.3">
      <c r="A150" s="30">
        <v>60</v>
      </c>
      <c r="B150" s="30" t="s">
        <v>389</v>
      </c>
      <c r="C150" s="30" t="s">
        <v>19</v>
      </c>
      <c r="D150" s="31">
        <v>46112</v>
      </c>
      <c r="E150" s="30">
        <v>1337</v>
      </c>
      <c r="F150" s="30">
        <v>0</v>
      </c>
      <c r="G150" s="32">
        <v>678710</v>
      </c>
      <c r="H150" s="30">
        <v>286140307</v>
      </c>
      <c r="I150" s="30" t="s">
        <v>497</v>
      </c>
      <c r="J150" s="30" t="s">
        <v>432</v>
      </c>
      <c r="K150" s="30" t="s">
        <v>433</v>
      </c>
      <c r="L150" s="30" t="s">
        <v>203</v>
      </c>
      <c r="M150" s="30" t="s">
        <v>173</v>
      </c>
      <c r="N150" s="30" t="s">
        <v>167</v>
      </c>
      <c r="O150" s="30">
        <v>678710</v>
      </c>
      <c r="P150" s="30">
        <v>1</v>
      </c>
      <c r="Q150" s="30" t="s">
        <v>168</v>
      </c>
      <c r="R150" s="30" t="s">
        <v>169</v>
      </c>
      <c r="S150" s="30"/>
      <c r="T150" s="30"/>
      <c r="U150" s="30"/>
      <c r="V150" s="30" t="s">
        <v>172</v>
      </c>
      <c r="W150" s="30" t="s">
        <v>282</v>
      </c>
      <c r="X150" s="30" t="s">
        <v>434</v>
      </c>
      <c r="Y150" s="30" t="s">
        <v>496</v>
      </c>
      <c r="Z150" s="30">
        <v>6</v>
      </c>
      <c r="AA150" s="30" t="s">
        <v>197</v>
      </c>
      <c r="AB150" s="30">
        <v>11</v>
      </c>
      <c r="AC150" s="30" t="s">
        <v>177</v>
      </c>
      <c r="AD150" s="30" t="s">
        <v>178</v>
      </c>
      <c r="AE150" s="30" t="s">
        <v>19</v>
      </c>
      <c r="AF150" s="30" t="s">
        <v>99</v>
      </c>
      <c r="AG150" s="30" t="s">
        <v>73</v>
      </c>
      <c r="AH150" s="30" t="s">
        <v>6</v>
      </c>
      <c r="AI150" s="30" t="s">
        <v>104</v>
      </c>
    </row>
    <row r="151" spans="1:35" x14ac:dyDescent="0.3">
      <c r="A151" s="30">
        <v>61</v>
      </c>
      <c r="B151" s="30" t="s">
        <v>389</v>
      </c>
      <c r="C151" s="30" t="s">
        <v>19</v>
      </c>
      <c r="D151" s="31">
        <v>46112</v>
      </c>
      <c r="E151" s="30">
        <v>1337</v>
      </c>
      <c r="F151" s="30">
        <v>0</v>
      </c>
      <c r="G151" s="32">
        <v>2394428</v>
      </c>
      <c r="H151" s="30">
        <v>288534735</v>
      </c>
      <c r="I151" s="30" t="s">
        <v>498</v>
      </c>
      <c r="J151" s="30" t="s">
        <v>432</v>
      </c>
      <c r="K151" s="30" t="s">
        <v>433</v>
      </c>
      <c r="L151" s="30" t="s">
        <v>203</v>
      </c>
      <c r="M151" s="30" t="s">
        <v>173</v>
      </c>
      <c r="N151" s="30" t="s">
        <v>167</v>
      </c>
      <c r="O151" s="30">
        <v>2394428</v>
      </c>
      <c r="P151" s="30">
        <v>1</v>
      </c>
      <c r="Q151" s="30" t="s">
        <v>168</v>
      </c>
      <c r="R151" s="30" t="s">
        <v>169</v>
      </c>
      <c r="S151" s="30"/>
      <c r="T151" s="30"/>
      <c r="U151" s="30"/>
      <c r="V151" s="30" t="s">
        <v>172</v>
      </c>
      <c r="W151" s="30" t="s">
        <v>282</v>
      </c>
      <c r="X151" s="30" t="s">
        <v>434</v>
      </c>
      <c r="Y151" s="30" t="s">
        <v>496</v>
      </c>
      <c r="Z151" s="30">
        <v>9</v>
      </c>
      <c r="AA151" s="30" t="s">
        <v>197</v>
      </c>
      <c r="AB151" s="30">
        <v>11</v>
      </c>
      <c r="AC151" s="30" t="s">
        <v>177</v>
      </c>
      <c r="AD151" s="30" t="s">
        <v>178</v>
      </c>
      <c r="AE151" s="30" t="s">
        <v>19</v>
      </c>
      <c r="AF151" s="30" t="s">
        <v>99</v>
      </c>
      <c r="AG151" s="30" t="s">
        <v>73</v>
      </c>
      <c r="AH151" s="30" t="s">
        <v>6</v>
      </c>
      <c r="AI151" s="30" t="s">
        <v>104</v>
      </c>
    </row>
    <row r="152" spans="1:35" x14ac:dyDescent="0.3">
      <c r="A152" s="30">
        <v>62</v>
      </c>
      <c r="B152" s="30" t="s">
        <v>389</v>
      </c>
      <c r="C152" s="30" t="s">
        <v>19</v>
      </c>
      <c r="D152" s="31">
        <v>46112</v>
      </c>
      <c r="E152" s="30">
        <v>1337</v>
      </c>
      <c r="F152" s="30">
        <v>0</v>
      </c>
      <c r="G152" s="32">
        <v>8025</v>
      </c>
      <c r="H152" s="30">
        <v>288542760</v>
      </c>
      <c r="I152" s="30" t="s">
        <v>499</v>
      </c>
      <c r="J152" s="30" t="s">
        <v>432</v>
      </c>
      <c r="K152" s="30" t="s">
        <v>433</v>
      </c>
      <c r="L152" s="30" t="s">
        <v>203</v>
      </c>
      <c r="M152" s="30" t="s">
        <v>173</v>
      </c>
      <c r="N152" s="30" t="s">
        <v>167</v>
      </c>
      <c r="O152" s="30">
        <v>8025</v>
      </c>
      <c r="P152" s="30">
        <v>1</v>
      </c>
      <c r="Q152" s="30" t="s">
        <v>168</v>
      </c>
      <c r="R152" s="30" t="s">
        <v>169</v>
      </c>
      <c r="S152" s="30"/>
      <c r="T152" s="30"/>
      <c r="U152" s="30"/>
      <c r="V152" s="30" t="s">
        <v>172</v>
      </c>
      <c r="W152" s="30" t="s">
        <v>282</v>
      </c>
      <c r="X152" s="30" t="s">
        <v>434</v>
      </c>
      <c r="Y152" s="30" t="s">
        <v>496</v>
      </c>
      <c r="Z152" s="30">
        <v>12</v>
      </c>
      <c r="AA152" s="30" t="s">
        <v>197</v>
      </c>
      <c r="AB152" s="30">
        <v>11</v>
      </c>
      <c r="AC152" s="30" t="s">
        <v>177</v>
      </c>
      <c r="AD152" s="30" t="s">
        <v>178</v>
      </c>
      <c r="AE152" s="30" t="s">
        <v>19</v>
      </c>
      <c r="AF152" s="30" t="s">
        <v>99</v>
      </c>
      <c r="AG152" s="30" t="s">
        <v>73</v>
      </c>
      <c r="AH152" s="30" t="s">
        <v>6</v>
      </c>
      <c r="AI152" s="30" t="s">
        <v>104</v>
      </c>
    </row>
    <row r="153" spans="1:35" x14ac:dyDescent="0.3">
      <c r="A153" s="30">
        <v>63</v>
      </c>
      <c r="B153" s="30" t="s">
        <v>389</v>
      </c>
      <c r="C153" s="30" t="s">
        <v>19</v>
      </c>
      <c r="D153" s="31">
        <v>46112</v>
      </c>
      <c r="E153" s="30">
        <v>1338</v>
      </c>
      <c r="F153" s="30">
        <v>0</v>
      </c>
      <c r="G153" s="32">
        <v>1150</v>
      </c>
      <c r="H153" s="30">
        <v>288543910</v>
      </c>
      <c r="I153" s="30" t="s">
        <v>500</v>
      </c>
      <c r="J153" s="30" t="s">
        <v>432</v>
      </c>
      <c r="K153" s="30" t="s">
        <v>433</v>
      </c>
      <c r="L153" s="30" t="s">
        <v>194</v>
      </c>
      <c r="M153" s="30" t="s">
        <v>195</v>
      </c>
      <c r="N153" s="30" t="s">
        <v>167</v>
      </c>
      <c r="O153" s="30">
        <v>1150</v>
      </c>
      <c r="P153" s="30">
        <v>1</v>
      </c>
      <c r="Q153" s="30" t="s">
        <v>168</v>
      </c>
      <c r="R153" s="30" t="s">
        <v>169</v>
      </c>
      <c r="S153" s="30"/>
      <c r="T153" s="30"/>
      <c r="U153" s="30"/>
      <c r="V153" s="30" t="s">
        <v>172</v>
      </c>
      <c r="W153" s="30" t="s">
        <v>282</v>
      </c>
      <c r="X153" s="30" t="s">
        <v>434</v>
      </c>
      <c r="Y153" s="30" t="s">
        <v>501</v>
      </c>
      <c r="Z153" s="30">
        <v>3</v>
      </c>
      <c r="AA153" s="30" t="s">
        <v>197</v>
      </c>
      <c r="AB153" s="30">
        <v>11</v>
      </c>
      <c r="AC153" s="30" t="s">
        <v>177</v>
      </c>
      <c r="AD153" s="30" t="s">
        <v>178</v>
      </c>
      <c r="AE153" s="30" t="s">
        <v>19</v>
      </c>
      <c r="AF153" s="30" t="s">
        <v>99</v>
      </c>
      <c r="AG153" s="30" t="s">
        <v>73</v>
      </c>
      <c r="AH153" s="30" t="s">
        <v>6</v>
      </c>
      <c r="AI153" s="30" t="s">
        <v>104</v>
      </c>
    </row>
    <row r="154" spans="1:35" x14ac:dyDescent="0.3">
      <c r="A154" s="30">
        <v>64</v>
      </c>
      <c r="B154" s="30" t="s">
        <v>389</v>
      </c>
      <c r="C154" s="30" t="s">
        <v>19</v>
      </c>
      <c r="D154" s="31">
        <v>46112</v>
      </c>
      <c r="E154" s="30">
        <v>1338</v>
      </c>
      <c r="F154" s="30">
        <v>0</v>
      </c>
      <c r="G154" s="32">
        <v>15483289</v>
      </c>
      <c r="H154" s="30">
        <v>304027199</v>
      </c>
      <c r="I154" s="30" t="s">
        <v>502</v>
      </c>
      <c r="J154" s="30" t="s">
        <v>432</v>
      </c>
      <c r="K154" s="30" t="s">
        <v>433</v>
      </c>
      <c r="L154" s="30" t="s">
        <v>194</v>
      </c>
      <c r="M154" s="30" t="s">
        <v>195</v>
      </c>
      <c r="N154" s="30" t="s">
        <v>167</v>
      </c>
      <c r="O154" s="30">
        <v>15483289</v>
      </c>
      <c r="P154" s="30">
        <v>1</v>
      </c>
      <c r="Q154" s="30" t="s">
        <v>168</v>
      </c>
      <c r="R154" s="30" t="s">
        <v>169</v>
      </c>
      <c r="S154" s="30"/>
      <c r="T154" s="30"/>
      <c r="U154" s="30"/>
      <c r="V154" s="30" t="s">
        <v>172</v>
      </c>
      <c r="W154" s="30" t="s">
        <v>282</v>
      </c>
      <c r="X154" s="30" t="s">
        <v>434</v>
      </c>
      <c r="Y154" s="30" t="s">
        <v>501</v>
      </c>
      <c r="Z154" s="30">
        <v>6</v>
      </c>
      <c r="AA154" s="30" t="s">
        <v>197</v>
      </c>
      <c r="AB154" s="30">
        <v>11</v>
      </c>
      <c r="AC154" s="30" t="s">
        <v>177</v>
      </c>
      <c r="AD154" s="30" t="s">
        <v>178</v>
      </c>
      <c r="AE154" s="30" t="s">
        <v>19</v>
      </c>
      <c r="AF154" s="30" t="s">
        <v>99</v>
      </c>
      <c r="AG154" s="30" t="s">
        <v>73</v>
      </c>
      <c r="AH154" s="30" t="s">
        <v>6</v>
      </c>
      <c r="AI154" s="30" t="s">
        <v>104</v>
      </c>
    </row>
    <row r="155" spans="1:35" x14ac:dyDescent="0.3">
      <c r="A155" s="30">
        <v>65</v>
      </c>
      <c r="B155" s="30" t="s">
        <v>389</v>
      </c>
      <c r="C155" s="30" t="s">
        <v>19</v>
      </c>
      <c r="D155" s="31">
        <v>46112</v>
      </c>
      <c r="E155" s="30">
        <v>1340</v>
      </c>
      <c r="F155" s="30">
        <v>0</v>
      </c>
      <c r="G155" s="32">
        <v>49554662</v>
      </c>
      <c r="H155" s="30">
        <v>353581861</v>
      </c>
      <c r="I155" s="30" t="s">
        <v>503</v>
      </c>
      <c r="J155" s="30" t="s">
        <v>443</v>
      </c>
      <c r="K155" s="30" t="s">
        <v>444</v>
      </c>
      <c r="L155" s="30" t="s">
        <v>194</v>
      </c>
      <c r="M155" s="30" t="s">
        <v>195</v>
      </c>
      <c r="N155" s="30" t="s">
        <v>167</v>
      </c>
      <c r="O155" s="30">
        <v>49554662</v>
      </c>
      <c r="P155" s="30">
        <v>1</v>
      </c>
      <c r="Q155" s="30" t="s">
        <v>168</v>
      </c>
      <c r="R155" s="30" t="s">
        <v>169</v>
      </c>
      <c r="S155" s="30"/>
      <c r="T155" s="30"/>
      <c r="U155" s="30"/>
      <c r="V155" s="30" t="s">
        <v>172</v>
      </c>
      <c r="W155" s="30" t="s">
        <v>282</v>
      </c>
      <c r="X155" s="30" t="s">
        <v>434</v>
      </c>
      <c r="Y155" s="30" t="s">
        <v>504</v>
      </c>
      <c r="Z155" s="30">
        <v>3</v>
      </c>
      <c r="AA155" s="30" t="s">
        <v>197</v>
      </c>
      <c r="AB155" s="30">
        <v>11</v>
      </c>
      <c r="AC155" s="30" t="s">
        <v>177</v>
      </c>
      <c r="AD155" s="30" t="s">
        <v>178</v>
      </c>
      <c r="AE155" s="30" t="s">
        <v>19</v>
      </c>
      <c r="AF155" s="30" t="s">
        <v>99</v>
      </c>
      <c r="AG155" s="30" t="s">
        <v>74</v>
      </c>
      <c r="AH155" s="30" t="s">
        <v>6</v>
      </c>
      <c r="AI155" s="30" t="s">
        <v>104</v>
      </c>
    </row>
    <row r="156" spans="1:35" x14ac:dyDescent="0.3">
      <c r="A156" s="30">
        <v>66</v>
      </c>
      <c r="B156" s="30" t="s">
        <v>389</v>
      </c>
      <c r="C156" s="30" t="s">
        <v>19</v>
      </c>
      <c r="D156" s="31">
        <v>46112</v>
      </c>
      <c r="E156" s="30">
        <v>1347</v>
      </c>
      <c r="F156" s="30">
        <v>0</v>
      </c>
      <c r="G156" s="32">
        <v>20638139</v>
      </c>
      <c r="H156" s="30">
        <v>374220000</v>
      </c>
      <c r="I156" s="30" t="s">
        <v>505</v>
      </c>
      <c r="J156" s="30" t="s">
        <v>180</v>
      </c>
      <c r="K156" s="30" t="s">
        <v>181</v>
      </c>
      <c r="L156" s="30" t="s">
        <v>203</v>
      </c>
      <c r="M156" s="30" t="s">
        <v>173</v>
      </c>
      <c r="N156" s="30" t="s">
        <v>167</v>
      </c>
      <c r="O156" s="30">
        <v>20638139</v>
      </c>
      <c r="P156" s="30">
        <v>1</v>
      </c>
      <c r="Q156" s="30" t="s">
        <v>168</v>
      </c>
      <c r="R156" s="30" t="s">
        <v>169</v>
      </c>
      <c r="S156" s="30" t="s">
        <v>170</v>
      </c>
      <c r="T156" s="30" t="s">
        <v>171</v>
      </c>
      <c r="U156" s="30" t="s">
        <v>19</v>
      </c>
      <c r="V156" s="30" t="s">
        <v>172</v>
      </c>
      <c r="W156" s="30" t="s">
        <v>282</v>
      </c>
      <c r="X156" s="30" t="s">
        <v>174</v>
      </c>
      <c r="Y156" s="30" t="s">
        <v>506</v>
      </c>
      <c r="Z156" s="30">
        <v>3</v>
      </c>
      <c r="AA156" s="30" t="s">
        <v>176</v>
      </c>
      <c r="AB156" s="30">
        <v>11</v>
      </c>
      <c r="AC156" s="30" t="s">
        <v>177</v>
      </c>
      <c r="AD156" s="30" t="s">
        <v>178</v>
      </c>
      <c r="AE156" s="30" t="s">
        <v>19</v>
      </c>
      <c r="AF156" s="30" t="s">
        <v>99</v>
      </c>
      <c r="AG156" s="30" t="s">
        <v>36</v>
      </c>
      <c r="AH156" s="30" t="s">
        <v>6</v>
      </c>
      <c r="AI156" s="30"/>
    </row>
    <row r="157" spans="1:35" x14ac:dyDescent="0.3">
      <c r="A157" s="30">
        <v>67</v>
      </c>
      <c r="B157" s="30" t="s">
        <v>389</v>
      </c>
      <c r="C157" s="30" t="s">
        <v>19</v>
      </c>
      <c r="D157" s="31">
        <v>46112</v>
      </c>
      <c r="E157" s="30">
        <v>1348</v>
      </c>
      <c r="F157" s="30">
        <v>0</v>
      </c>
      <c r="G157" s="32">
        <v>5792587</v>
      </c>
      <c r="H157" s="30">
        <v>380012587</v>
      </c>
      <c r="I157" s="30" t="s">
        <v>507</v>
      </c>
      <c r="J157" s="30" t="s">
        <v>163</v>
      </c>
      <c r="K157" s="30" t="s">
        <v>164</v>
      </c>
      <c r="L157" s="30" t="s">
        <v>203</v>
      </c>
      <c r="M157" s="30" t="s">
        <v>173</v>
      </c>
      <c r="N157" s="30" t="s">
        <v>167</v>
      </c>
      <c r="O157" s="30">
        <v>5792587</v>
      </c>
      <c r="P157" s="30">
        <v>1</v>
      </c>
      <c r="Q157" s="30" t="s">
        <v>168</v>
      </c>
      <c r="R157" s="30" t="s">
        <v>169</v>
      </c>
      <c r="S157" s="30" t="s">
        <v>170</v>
      </c>
      <c r="T157" s="30" t="s">
        <v>171</v>
      </c>
      <c r="U157" s="30" t="s">
        <v>19</v>
      </c>
      <c r="V157" s="30" t="s">
        <v>172</v>
      </c>
      <c r="W157" s="30" t="s">
        <v>282</v>
      </c>
      <c r="X157" s="30" t="s">
        <v>174</v>
      </c>
      <c r="Y157" s="30" t="s">
        <v>508</v>
      </c>
      <c r="Z157" s="30">
        <v>1</v>
      </c>
      <c r="AA157" s="30" t="s">
        <v>176</v>
      </c>
      <c r="AB157" s="30">
        <v>11</v>
      </c>
      <c r="AC157" s="30" t="s">
        <v>177</v>
      </c>
      <c r="AD157" s="30" t="s">
        <v>178</v>
      </c>
      <c r="AE157" s="30" t="s">
        <v>19</v>
      </c>
      <c r="AF157" s="30" t="s">
        <v>99</v>
      </c>
      <c r="AG157" s="30" t="s">
        <v>37</v>
      </c>
      <c r="AH157" s="30" t="s">
        <v>6</v>
      </c>
      <c r="AI157" s="30" t="s">
        <v>111</v>
      </c>
    </row>
    <row r="158" spans="1:35" x14ac:dyDescent="0.3">
      <c r="A158" s="30">
        <v>71</v>
      </c>
      <c r="B158" s="30" t="s">
        <v>389</v>
      </c>
      <c r="C158" s="30" t="s">
        <v>19</v>
      </c>
      <c r="D158" s="31">
        <v>46113</v>
      </c>
      <c r="E158" s="30">
        <v>71</v>
      </c>
      <c r="F158" s="30">
        <v>0</v>
      </c>
      <c r="G158" s="32">
        <v>-217780072</v>
      </c>
      <c r="H158" s="30">
        <v>-217780072</v>
      </c>
      <c r="I158" s="30" t="s">
        <v>421</v>
      </c>
      <c r="J158" s="30" t="s">
        <v>163</v>
      </c>
      <c r="K158" s="30" t="s">
        <v>164</v>
      </c>
      <c r="L158" s="30" t="s">
        <v>203</v>
      </c>
      <c r="M158" s="30" t="s">
        <v>173</v>
      </c>
      <c r="N158" s="30" t="s">
        <v>167</v>
      </c>
      <c r="O158" s="30">
        <v>-217780072</v>
      </c>
      <c r="P158" s="30">
        <v>1</v>
      </c>
      <c r="Q158" s="30" t="s">
        <v>168</v>
      </c>
      <c r="R158" s="30" t="s">
        <v>169</v>
      </c>
      <c r="S158" s="30"/>
      <c r="T158" s="30"/>
      <c r="U158" s="30"/>
      <c r="V158" s="30" t="s">
        <v>172</v>
      </c>
      <c r="W158" s="30" t="s">
        <v>282</v>
      </c>
      <c r="X158" s="30" t="s">
        <v>174</v>
      </c>
      <c r="Y158" s="30" t="s">
        <v>509</v>
      </c>
      <c r="Z158" s="30">
        <v>2</v>
      </c>
      <c r="AA158" s="30" t="s">
        <v>337</v>
      </c>
      <c r="AB158" s="30">
        <v>13</v>
      </c>
      <c r="AC158" s="30" t="s">
        <v>338</v>
      </c>
      <c r="AD158" s="30" t="s">
        <v>178</v>
      </c>
      <c r="AE158" s="30" t="s">
        <v>19</v>
      </c>
      <c r="AF158" s="30" t="s">
        <v>99</v>
      </c>
      <c r="AG158" s="30" t="s">
        <v>37</v>
      </c>
      <c r="AH158" s="30" t="s">
        <v>7</v>
      </c>
      <c r="AI158" s="30" t="s">
        <v>111</v>
      </c>
    </row>
    <row r="159" spans="1:35" x14ac:dyDescent="0.3">
      <c r="A159" s="30">
        <v>72</v>
      </c>
      <c r="B159" s="30" t="s">
        <v>389</v>
      </c>
      <c r="C159" s="30" t="s">
        <v>19</v>
      </c>
      <c r="D159" s="31">
        <v>46113</v>
      </c>
      <c r="E159" s="30">
        <v>70</v>
      </c>
      <c r="F159" s="30">
        <v>0</v>
      </c>
      <c r="G159" s="32">
        <v>-217780072</v>
      </c>
      <c r="H159" s="30">
        <v>-435560144</v>
      </c>
      <c r="I159" s="30" t="s">
        <v>452</v>
      </c>
      <c r="J159" s="30" t="s">
        <v>163</v>
      </c>
      <c r="K159" s="30" t="s">
        <v>164</v>
      </c>
      <c r="L159" s="30" t="s">
        <v>203</v>
      </c>
      <c r="M159" s="30" t="s">
        <v>173</v>
      </c>
      <c r="N159" s="30" t="s">
        <v>167</v>
      </c>
      <c r="O159" s="30">
        <v>-217780072</v>
      </c>
      <c r="P159" s="30">
        <v>1</v>
      </c>
      <c r="Q159" s="30" t="s">
        <v>168</v>
      </c>
      <c r="R159" s="30" t="s">
        <v>169</v>
      </c>
      <c r="S159" s="30"/>
      <c r="T159" s="30"/>
      <c r="U159" s="30"/>
      <c r="V159" s="30" t="s">
        <v>172</v>
      </c>
      <c r="W159" s="30" t="s">
        <v>282</v>
      </c>
      <c r="X159" s="30" t="s">
        <v>174</v>
      </c>
      <c r="Y159" s="30" t="s">
        <v>510</v>
      </c>
      <c r="Z159" s="30">
        <v>2</v>
      </c>
      <c r="AA159" s="30" t="s">
        <v>337</v>
      </c>
      <c r="AB159" s="30">
        <v>13</v>
      </c>
      <c r="AC159" s="30" t="s">
        <v>338</v>
      </c>
      <c r="AD159" s="30" t="s">
        <v>178</v>
      </c>
      <c r="AE159" s="30" t="s">
        <v>19</v>
      </c>
      <c r="AF159" s="30" t="s">
        <v>99</v>
      </c>
      <c r="AG159" s="30" t="s">
        <v>37</v>
      </c>
      <c r="AH159" s="30" t="s">
        <v>7</v>
      </c>
      <c r="AI159" s="30" t="s">
        <v>111</v>
      </c>
    </row>
    <row r="160" spans="1:35" x14ac:dyDescent="0.3">
      <c r="A160" s="30">
        <v>73</v>
      </c>
      <c r="B160" s="30" t="s">
        <v>389</v>
      </c>
      <c r="C160" s="30" t="s">
        <v>19</v>
      </c>
      <c r="D160" s="31">
        <v>46113</v>
      </c>
      <c r="E160" s="30">
        <v>72</v>
      </c>
      <c r="F160" s="30">
        <v>0</v>
      </c>
      <c r="G160" s="32">
        <v>-217780072</v>
      </c>
      <c r="H160" s="30">
        <v>-653340216</v>
      </c>
      <c r="I160" s="30" t="s">
        <v>511</v>
      </c>
      <c r="J160" s="30" t="s">
        <v>163</v>
      </c>
      <c r="K160" s="30" t="s">
        <v>164</v>
      </c>
      <c r="L160" s="30" t="s">
        <v>203</v>
      </c>
      <c r="M160" s="30" t="s">
        <v>173</v>
      </c>
      <c r="N160" s="30" t="s">
        <v>167</v>
      </c>
      <c r="O160" s="30">
        <v>-217780072</v>
      </c>
      <c r="P160" s="30">
        <v>1</v>
      </c>
      <c r="Q160" s="30" t="s">
        <v>168</v>
      </c>
      <c r="R160" s="30" t="s">
        <v>169</v>
      </c>
      <c r="S160" s="30"/>
      <c r="T160" s="30"/>
      <c r="U160" s="30"/>
      <c r="V160" s="30" t="s">
        <v>172</v>
      </c>
      <c r="W160" s="30" t="s">
        <v>282</v>
      </c>
      <c r="X160" s="30" t="s">
        <v>174</v>
      </c>
      <c r="Y160" s="30" t="s">
        <v>512</v>
      </c>
      <c r="Z160" s="30">
        <v>2</v>
      </c>
      <c r="AA160" s="30" t="s">
        <v>197</v>
      </c>
      <c r="AB160" s="30">
        <v>11</v>
      </c>
      <c r="AC160" s="30" t="s">
        <v>177</v>
      </c>
      <c r="AD160" s="30" t="s">
        <v>178</v>
      </c>
      <c r="AE160" s="30" t="s">
        <v>19</v>
      </c>
      <c r="AF160" s="30" t="s">
        <v>99</v>
      </c>
      <c r="AG160" s="30" t="s">
        <v>37</v>
      </c>
      <c r="AH160" s="30" t="s">
        <v>7</v>
      </c>
      <c r="AI160" s="30" t="s">
        <v>111</v>
      </c>
    </row>
    <row r="161" spans="1:35" x14ac:dyDescent="0.3">
      <c r="A161" s="30">
        <v>74</v>
      </c>
      <c r="B161" s="30" t="s">
        <v>389</v>
      </c>
      <c r="C161" s="30" t="s">
        <v>19</v>
      </c>
      <c r="D161" s="31">
        <v>46113</v>
      </c>
      <c r="E161" s="30">
        <v>68</v>
      </c>
      <c r="F161" s="30">
        <v>0</v>
      </c>
      <c r="G161" s="32">
        <v>500000</v>
      </c>
      <c r="H161" s="30">
        <v>-652840216</v>
      </c>
      <c r="I161" s="30" t="s">
        <v>513</v>
      </c>
      <c r="J161" s="30" t="s">
        <v>514</v>
      </c>
      <c r="K161" s="30" t="s">
        <v>515</v>
      </c>
      <c r="L161" s="30" t="s">
        <v>203</v>
      </c>
      <c r="M161" s="30" t="s">
        <v>173</v>
      </c>
      <c r="N161" s="30" t="s">
        <v>167</v>
      </c>
      <c r="O161" s="30">
        <v>500000</v>
      </c>
      <c r="P161" s="30">
        <v>1</v>
      </c>
      <c r="Q161" s="30" t="s">
        <v>168</v>
      </c>
      <c r="R161" s="30" t="s">
        <v>169</v>
      </c>
      <c r="S161" s="30" t="s">
        <v>170</v>
      </c>
      <c r="T161" s="30" t="s">
        <v>171</v>
      </c>
      <c r="U161" s="30" t="s">
        <v>19</v>
      </c>
      <c r="V161" s="30" t="s">
        <v>172</v>
      </c>
      <c r="W161" s="30" t="s">
        <v>282</v>
      </c>
      <c r="X161" s="30" t="s">
        <v>174</v>
      </c>
      <c r="Y161" s="30" t="s">
        <v>516</v>
      </c>
      <c r="Z161" s="30">
        <v>1</v>
      </c>
      <c r="AA161" s="30" t="s">
        <v>176</v>
      </c>
      <c r="AB161" s="30">
        <v>11</v>
      </c>
      <c r="AC161" s="30" t="s">
        <v>177</v>
      </c>
      <c r="AD161" s="30" t="s">
        <v>178</v>
      </c>
      <c r="AE161" s="30" t="s">
        <v>19</v>
      </c>
      <c r="AF161" s="30" t="s">
        <v>99</v>
      </c>
      <c r="AG161" s="30" t="s">
        <v>110</v>
      </c>
      <c r="AH161" s="30" t="s">
        <v>7</v>
      </c>
      <c r="AI161" s="30"/>
    </row>
    <row r="162" spans="1:35" x14ac:dyDescent="0.3">
      <c r="A162" s="30">
        <v>75</v>
      </c>
      <c r="B162" s="30" t="s">
        <v>389</v>
      </c>
      <c r="C162" s="30" t="s">
        <v>19</v>
      </c>
      <c r="D162" s="31">
        <v>46113</v>
      </c>
      <c r="E162" s="30">
        <v>76</v>
      </c>
      <c r="F162" s="30">
        <v>0</v>
      </c>
      <c r="G162" s="32">
        <v>-1527956</v>
      </c>
      <c r="H162" s="30">
        <v>-654368172</v>
      </c>
      <c r="I162" s="30" t="s">
        <v>423</v>
      </c>
      <c r="J162" s="30" t="s">
        <v>180</v>
      </c>
      <c r="K162" s="30" t="s">
        <v>181</v>
      </c>
      <c r="L162" s="30" t="s">
        <v>203</v>
      </c>
      <c r="M162" s="30" t="s">
        <v>173</v>
      </c>
      <c r="N162" s="30" t="s">
        <v>167</v>
      </c>
      <c r="O162" s="30">
        <v>-1527956</v>
      </c>
      <c r="P162" s="30">
        <v>1</v>
      </c>
      <c r="Q162" s="30" t="s">
        <v>168</v>
      </c>
      <c r="R162" s="30" t="s">
        <v>169</v>
      </c>
      <c r="S162" s="30"/>
      <c r="T162" s="30"/>
      <c r="U162" s="30"/>
      <c r="V162" s="30" t="s">
        <v>172</v>
      </c>
      <c r="W162" s="30" t="s">
        <v>282</v>
      </c>
      <c r="X162" s="30" t="s">
        <v>174</v>
      </c>
      <c r="Y162" s="30" t="s">
        <v>517</v>
      </c>
      <c r="Z162" s="30">
        <v>1</v>
      </c>
      <c r="AA162" s="30" t="s">
        <v>337</v>
      </c>
      <c r="AB162" s="30">
        <v>13</v>
      </c>
      <c r="AC162" s="30" t="s">
        <v>338</v>
      </c>
      <c r="AD162" s="30" t="s">
        <v>178</v>
      </c>
      <c r="AE162" s="30" t="s">
        <v>19</v>
      </c>
      <c r="AF162" s="30" t="s">
        <v>99</v>
      </c>
      <c r="AG162" s="30" t="s">
        <v>36</v>
      </c>
      <c r="AH162" s="30" t="s">
        <v>7</v>
      </c>
      <c r="AI162" s="30"/>
    </row>
    <row r="163" spans="1:35" x14ac:dyDescent="0.3">
      <c r="A163" s="30">
        <v>76</v>
      </c>
      <c r="B163" s="30" t="s">
        <v>389</v>
      </c>
      <c r="C163" s="30" t="s">
        <v>19</v>
      </c>
      <c r="D163" s="31">
        <v>46113</v>
      </c>
      <c r="E163" s="30">
        <v>75</v>
      </c>
      <c r="F163" s="30">
        <v>0</v>
      </c>
      <c r="G163" s="32">
        <v>-1527956</v>
      </c>
      <c r="H163" s="30">
        <v>-655896128</v>
      </c>
      <c r="I163" s="30" t="s">
        <v>454</v>
      </c>
      <c r="J163" s="30" t="s">
        <v>180</v>
      </c>
      <c r="K163" s="30" t="s">
        <v>181</v>
      </c>
      <c r="L163" s="30" t="s">
        <v>203</v>
      </c>
      <c r="M163" s="30" t="s">
        <v>173</v>
      </c>
      <c r="N163" s="30" t="s">
        <v>167</v>
      </c>
      <c r="O163" s="30">
        <v>-1527956</v>
      </c>
      <c r="P163" s="30">
        <v>1</v>
      </c>
      <c r="Q163" s="30" t="s">
        <v>168</v>
      </c>
      <c r="R163" s="30" t="s">
        <v>169</v>
      </c>
      <c r="S163" s="30"/>
      <c r="T163" s="30"/>
      <c r="U163" s="30"/>
      <c r="V163" s="30" t="s">
        <v>172</v>
      </c>
      <c r="W163" s="30" t="s">
        <v>282</v>
      </c>
      <c r="X163" s="30" t="s">
        <v>174</v>
      </c>
      <c r="Y163" s="30" t="s">
        <v>518</v>
      </c>
      <c r="Z163" s="30">
        <v>1</v>
      </c>
      <c r="AA163" s="30" t="s">
        <v>337</v>
      </c>
      <c r="AB163" s="30">
        <v>13</v>
      </c>
      <c r="AC163" s="30" t="s">
        <v>338</v>
      </c>
      <c r="AD163" s="30" t="s">
        <v>178</v>
      </c>
      <c r="AE163" s="30" t="s">
        <v>19</v>
      </c>
      <c r="AF163" s="30" t="s">
        <v>99</v>
      </c>
      <c r="AG163" s="30" t="s">
        <v>36</v>
      </c>
      <c r="AH163" s="30" t="s">
        <v>7</v>
      </c>
      <c r="AI163" s="30"/>
    </row>
    <row r="164" spans="1:35" x14ac:dyDescent="0.3">
      <c r="A164" s="30">
        <v>77</v>
      </c>
      <c r="B164" s="30" t="s">
        <v>389</v>
      </c>
      <c r="C164" s="30" t="s">
        <v>19</v>
      </c>
      <c r="D164" s="31">
        <v>46113</v>
      </c>
      <c r="E164" s="30">
        <v>74</v>
      </c>
      <c r="F164" s="30">
        <v>0</v>
      </c>
      <c r="G164" s="32">
        <v>-1527956</v>
      </c>
      <c r="H164" s="30">
        <v>-657424084</v>
      </c>
      <c r="I164" s="30" t="s">
        <v>519</v>
      </c>
      <c r="J164" s="30" t="s">
        <v>180</v>
      </c>
      <c r="K164" s="30" t="s">
        <v>181</v>
      </c>
      <c r="L164" s="30" t="s">
        <v>203</v>
      </c>
      <c r="M164" s="30" t="s">
        <v>173</v>
      </c>
      <c r="N164" s="30" t="s">
        <v>167</v>
      </c>
      <c r="O164" s="30">
        <v>-1527956</v>
      </c>
      <c r="P164" s="30">
        <v>1</v>
      </c>
      <c r="Q164" s="30" t="s">
        <v>168</v>
      </c>
      <c r="R164" s="30" t="s">
        <v>169</v>
      </c>
      <c r="S164" s="30"/>
      <c r="T164" s="30"/>
      <c r="U164" s="30"/>
      <c r="V164" s="30" t="s">
        <v>172</v>
      </c>
      <c r="W164" s="30" t="s">
        <v>282</v>
      </c>
      <c r="X164" s="30" t="s">
        <v>174</v>
      </c>
      <c r="Y164" s="30" t="s">
        <v>520</v>
      </c>
      <c r="Z164" s="30">
        <v>1</v>
      </c>
      <c r="AA164" s="30" t="s">
        <v>197</v>
      </c>
      <c r="AB164" s="30">
        <v>11</v>
      </c>
      <c r="AC164" s="30" t="s">
        <v>177</v>
      </c>
      <c r="AD164" s="30" t="s">
        <v>178</v>
      </c>
      <c r="AE164" s="30" t="s">
        <v>19</v>
      </c>
      <c r="AF164" s="30" t="s">
        <v>99</v>
      </c>
      <c r="AG164" s="30" t="s">
        <v>36</v>
      </c>
      <c r="AH164" s="30" t="s">
        <v>7</v>
      </c>
      <c r="AI164" s="30"/>
    </row>
    <row r="165" spans="1:35" x14ac:dyDescent="0.3">
      <c r="A165" s="30">
        <v>78</v>
      </c>
      <c r="B165" s="30" t="s">
        <v>389</v>
      </c>
      <c r="C165" s="30" t="s">
        <v>19</v>
      </c>
      <c r="D165" s="31">
        <v>46113</v>
      </c>
      <c r="E165" s="30">
        <v>90</v>
      </c>
      <c r="F165" s="30">
        <v>0</v>
      </c>
      <c r="G165" s="32">
        <v>-2387716</v>
      </c>
      <c r="H165" s="30">
        <v>-659811800</v>
      </c>
      <c r="I165" s="30" t="s">
        <v>425</v>
      </c>
      <c r="J165" s="30" t="s">
        <v>387</v>
      </c>
      <c r="K165" s="30" t="s">
        <v>388</v>
      </c>
      <c r="L165" s="30" t="s">
        <v>203</v>
      </c>
      <c r="M165" s="30" t="s">
        <v>173</v>
      </c>
      <c r="N165" s="30" t="s">
        <v>397</v>
      </c>
      <c r="O165" s="30">
        <v>-1645.59</v>
      </c>
      <c r="P165" s="30">
        <v>1450.98</v>
      </c>
      <c r="Q165" s="30" t="s">
        <v>168</v>
      </c>
      <c r="R165" s="30" t="s">
        <v>169</v>
      </c>
      <c r="S165" s="30"/>
      <c r="T165" s="30"/>
      <c r="U165" s="30"/>
      <c r="V165" s="30" t="s">
        <v>172</v>
      </c>
      <c r="W165" s="30" t="s">
        <v>282</v>
      </c>
      <c r="X165" s="30" t="s">
        <v>174</v>
      </c>
      <c r="Y165" s="30" t="s">
        <v>521</v>
      </c>
      <c r="Z165" s="30">
        <v>2</v>
      </c>
      <c r="AA165" s="30" t="s">
        <v>337</v>
      </c>
      <c r="AB165" s="30">
        <v>13</v>
      </c>
      <c r="AC165" s="30" t="s">
        <v>338</v>
      </c>
      <c r="AD165" s="30" t="s">
        <v>178</v>
      </c>
      <c r="AE165" s="30" t="s">
        <v>19</v>
      </c>
      <c r="AF165" s="30" t="s">
        <v>99</v>
      </c>
      <c r="AG165" s="30" t="s">
        <v>105</v>
      </c>
      <c r="AH165" s="30" t="s">
        <v>7</v>
      </c>
      <c r="AI165" s="30" t="s">
        <v>106</v>
      </c>
    </row>
    <row r="166" spans="1:35" x14ac:dyDescent="0.3">
      <c r="A166" s="30">
        <v>79</v>
      </c>
      <c r="B166" s="30" t="s">
        <v>389</v>
      </c>
      <c r="C166" s="30" t="s">
        <v>19</v>
      </c>
      <c r="D166" s="31">
        <v>46113</v>
      </c>
      <c r="E166" s="30">
        <v>89</v>
      </c>
      <c r="F166" s="30">
        <v>0</v>
      </c>
      <c r="G166" s="32">
        <v>-2387716</v>
      </c>
      <c r="H166" s="30">
        <v>-662199516</v>
      </c>
      <c r="I166" s="30" t="s">
        <v>456</v>
      </c>
      <c r="J166" s="30" t="s">
        <v>387</v>
      </c>
      <c r="K166" s="30" t="s">
        <v>388</v>
      </c>
      <c r="L166" s="30" t="s">
        <v>203</v>
      </c>
      <c r="M166" s="30" t="s">
        <v>173</v>
      </c>
      <c r="N166" s="30" t="s">
        <v>397</v>
      </c>
      <c r="O166" s="30">
        <v>-1645.59</v>
      </c>
      <c r="P166" s="30">
        <v>1450.98</v>
      </c>
      <c r="Q166" s="30" t="s">
        <v>168</v>
      </c>
      <c r="R166" s="30" t="s">
        <v>169</v>
      </c>
      <c r="S166" s="30"/>
      <c r="T166" s="30"/>
      <c r="U166" s="30"/>
      <c r="V166" s="30" t="s">
        <v>172</v>
      </c>
      <c r="W166" s="30" t="s">
        <v>282</v>
      </c>
      <c r="X166" s="30" t="s">
        <v>174</v>
      </c>
      <c r="Y166" s="30" t="s">
        <v>522</v>
      </c>
      <c r="Z166" s="30">
        <v>2</v>
      </c>
      <c r="AA166" s="30" t="s">
        <v>337</v>
      </c>
      <c r="AB166" s="30">
        <v>13</v>
      </c>
      <c r="AC166" s="30" t="s">
        <v>338</v>
      </c>
      <c r="AD166" s="30" t="s">
        <v>178</v>
      </c>
      <c r="AE166" s="30" t="s">
        <v>19</v>
      </c>
      <c r="AF166" s="30" t="s">
        <v>99</v>
      </c>
      <c r="AG166" s="30" t="s">
        <v>105</v>
      </c>
      <c r="AH166" s="30" t="s">
        <v>7</v>
      </c>
      <c r="AI166" s="30" t="s">
        <v>106</v>
      </c>
    </row>
    <row r="167" spans="1:35" x14ac:dyDescent="0.3">
      <c r="A167" s="30">
        <v>80</v>
      </c>
      <c r="B167" s="30" t="s">
        <v>389</v>
      </c>
      <c r="C167" s="30" t="s">
        <v>19</v>
      </c>
      <c r="D167" s="31">
        <v>46113</v>
      </c>
      <c r="E167" s="30">
        <v>88</v>
      </c>
      <c r="F167" s="30">
        <v>0</v>
      </c>
      <c r="G167" s="32">
        <v>-2387716</v>
      </c>
      <c r="H167" s="30">
        <v>-664587232</v>
      </c>
      <c r="I167" s="30" t="s">
        <v>523</v>
      </c>
      <c r="J167" s="30" t="s">
        <v>387</v>
      </c>
      <c r="K167" s="30" t="s">
        <v>388</v>
      </c>
      <c r="L167" s="30" t="s">
        <v>203</v>
      </c>
      <c r="M167" s="30" t="s">
        <v>173</v>
      </c>
      <c r="N167" s="30" t="s">
        <v>397</v>
      </c>
      <c r="O167" s="30">
        <v>-1645.59</v>
      </c>
      <c r="P167" s="30">
        <v>1450.98</v>
      </c>
      <c r="Q167" s="30" t="s">
        <v>168</v>
      </c>
      <c r="R167" s="30" t="s">
        <v>169</v>
      </c>
      <c r="S167" s="30"/>
      <c r="T167" s="30"/>
      <c r="U167" s="30"/>
      <c r="V167" s="30" t="s">
        <v>172</v>
      </c>
      <c r="W167" s="30" t="s">
        <v>282</v>
      </c>
      <c r="X167" s="30" t="s">
        <v>174</v>
      </c>
      <c r="Y167" s="30" t="s">
        <v>524</v>
      </c>
      <c r="Z167" s="30">
        <v>2</v>
      </c>
      <c r="AA167" s="30" t="s">
        <v>197</v>
      </c>
      <c r="AB167" s="30">
        <v>11</v>
      </c>
      <c r="AC167" s="30" t="s">
        <v>177</v>
      </c>
      <c r="AD167" s="30" t="s">
        <v>178</v>
      </c>
      <c r="AE167" s="30" t="s">
        <v>19</v>
      </c>
      <c r="AF167" s="30" t="s">
        <v>99</v>
      </c>
      <c r="AG167" s="30" t="s">
        <v>105</v>
      </c>
      <c r="AH167" s="30" t="s">
        <v>7</v>
      </c>
      <c r="AI167" s="30" t="s">
        <v>106</v>
      </c>
    </row>
    <row r="168" spans="1:35" x14ac:dyDescent="0.3">
      <c r="A168" s="30">
        <v>81</v>
      </c>
      <c r="B168" s="30" t="s">
        <v>389</v>
      </c>
      <c r="C168" s="30" t="s">
        <v>19</v>
      </c>
      <c r="D168" s="31">
        <v>46113</v>
      </c>
      <c r="E168" s="30">
        <v>98</v>
      </c>
      <c r="F168" s="30">
        <v>0</v>
      </c>
      <c r="G168" s="32">
        <v>-28476081</v>
      </c>
      <c r="H168" s="30">
        <v>-693063313</v>
      </c>
      <c r="I168" s="30" t="s">
        <v>458</v>
      </c>
      <c r="J168" s="30" t="s">
        <v>410</v>
      </c>
      <c r="K168" s="30" t="s">
        <v>411</v>
      </c>
      <c r="L168" s="30" t="s">
        <v>203</v>
      </c>
      <c r="M168" s="30" t="s">
        <v>173</v>
      </c>
      <c r="N168" s="30" t="s">
        <v>397</v>
      </c>
      <c r="O168" s="30">
        <v>-19625.41</v>
      </c>
      <c r="P168" s="30">
        <v>1450.98</v>
      </c>
      <c r="Q168" s="30" t="s">
        <v>412</v>
      </c>
      <c r="R168" s="30" t="s">
        <v>413</v>
      </c>
      <c r="S168" s="30"/>
      <c r="T168" s="30"/>
      <c r="U168" s="30"/>
      <c r="V168" s="30" t="s">
        <v>172</v>
      </c>
      <c r="W168" s="30" t="s">
        <v>282</v>
      </c>
      <c r="X168" s="30" t="s">
        <v>174</v>
      </c>
      <c r="Y168" s="30" t="s">
        <v>525</v>
      </c>
      <c r="Z168" s="30">
        <v>1</v>
      </c>
      <c r="AA168" s="30" t="s">
        <v>337</v>
      </c>
      <c r="AB168" s="30">
        <v>13</v>
      </c>
      <c r="AC168" s="30" t="s">
        <v>338</v>
      </c>
      <c r="AD168" s="30" t="s">
        <v>178</v>
      </c>
      <c r="AE168" s="30" t="s">
        <v>19</v>
      </c>
      <c r="AF168" s="30" t="s">
        <v>99</v>
      </c>
      <c r="AG168" s="30" t="s">
        <v>103</v>
      </c>
      <c r="AH168" s="30" t="s">
        <v>7</v>
      </c>
      <c r="AI168" s="30"/>
    </row>
    <row r="169" spans="1:35" x14ac:dyDescent="0.3">
      <c r="A169" s="30">
        <v>82</v>
      </c>
      <c r="B169" s="30" t="s">
        <v>389</v>
      </c>
      <c r="C169" s="30" t="s">
        <v>19</v>
      </c>
      <c r="D169" s="31">
        <v>46113</v>
      </c>
      <c r="E169" s="30">
        <v>98</v>
      </c>
      <c r="F169" s="30">
        <v>0</v>
      </c>
      <c r="G169" s="32">
        <v>-28476081</v>
      </c>
      <c r="H169" s="30">
        <v>-721539394</v>
      </c>
      <c r="I169" s="30" t="s">
        <v>460</v>
      </c>
      <c r="J169" s="30" t="s">
        <v>410</v>
      </c>
      <c r="K169" s="30" t="s">
        <v>411</v>
      </c>
      <c r="L169" s="30" t="s">
        <v>203</v>
      </c>
      <c r="M169" s="30" t="s">
        <v>173</v>
      </c>
      <c r="N169" s="30" t="s">
        <v>397</v>
      </c>
      <c r="O169" s="30">
        <v>-19625.41</v>
      </c>
      <c r="P169" s="30">
        <v>1450.98</v>
      </c>
      <c r="Q169" s="30" t="s">
        <v>412</v>
      </c>
      <c r="R169" s="30" t="s">
        <v>413</v>
      </c>
      <c r="S169" s="30"/>
      <c r="T169" s="30"/>
      <c r="U169" s="30"/>
      <c r="V169" s="30" t="s">
        <v>172</v>
      </c>
      <c r="W169" s="30" t="s">
        <v>282</v>
      </c>
      <c r="X169" s="30" t="s">
        <v>174</v>
      </c>
      <c r="Y169" s="30" t="s">
        <v>525</v>
      </c>
      <c r="Z169" s="30">
        <v>3</v>
      </c>
      <c r="AA169" s="30" t="s">
        <v>337</v>
      </c>
      <c r="AB169" s="30">
        <v>13</v>
      </c>
      <c r="AC169" s="30" t="s">
        <v>338</v>
      </c>
      <c r="AD169" s="30" t="s">
        <v>178</v>
      </c>
      <c r="AE169" s="30" t="s">
        <v>19</v>
      </c>
      <c r="AF169" s="30" t="s">
        <v>99</v>
      </c>
      <c r="AG169" s="30" t="s">
        <v>103</v>
      </c>
      <c r="AH169" s="30" t="s">
        <v>7</v>
      </c>
      <c r="AI169" s="30"/>
    </row>
    <row r="170" spans="1:35" x14ac:dyDescent="0.3">
      <c r="A170" s="30">
        <v>83</v>
      </c>
      <c r="B170" s="30" t="s">
        <v>389</v>
      </c>
      <c r="C170" s="30" t="s">
        <v>19</v>
      </c>
      <c r="D170" s="31">
        <v>46113</v>
      </c>
      <c r="E170" s="30">
        <v>97</v>
      </c>
      <c r="F170" s="30">
        <v>0</v>
      </c>
      <c r="G170" s="32">
        <v>-28476081</v>
      </c>
      <c r="H170" s="30">
        <v>-750015475</v>
      </c>
      <c r="I170" s="30" t="s">
        <v>526</v>
      </c>
      <c r="J170" s="30" t="s">
        <v>410</v>
      </c>
      <c r="K170" s="30" t="s">
        <v>411</v>
      </c>
      <c r="L170" s="30" t="s">
        <v>203</v>
      </c>
      <c r="M170" s="30" t="s">
        <v>173</v>
      </c>
      <c r="N170" s="30" t="s">
        <v>397</v>
      </c>
      <c r="O170" s="30">
        <v>-19625.41</v>
      </c>
      <c r="P170" s="30">
        <v>1450.98</v>
      </c>
      <c r="Q170" s="30" t="s">
        <v>412</v>
      </c>
      <c r="R170" s="30" t="s">
        <v>413</v>
      </c>
      <c r="S170" s="30"/>
      <c r="T170" s="30"/>
      <c r="U170" s="30"/>
      <c r="V170" s="30" t="s">
        <v>172</v>
      </c>
      <c r="W170" s="30" t="s">
        <v>282</v>
      </c>
      <c r="X170" s="30" t="s">
        <v>174</v>
      </c>
      <c r="Y170" s="30" t="s">
        <v>527</v>
      </c>
      <c r="Z170" s="30">
        <v>1</v>
      </c>
      <c r="AA170" s="30" t="s">
        <v>197</v>
      </c>
      <c r="AB170" s="30">
        <v>11</v>
      </c>
      <c r="AC170" s="30" t="s">
        <v>177</v>
      </c>
      <c r="AD170" s="30" t="s">
        <v>178</v>
      </c>
      <c r="AE170" s="30" t="s">
        <v>19</v>
      </c>
      <c r="AF170" s="30" t="s">
        <v>99</v>
      </c>
      <c r="AG170" s="30" t="s">
        <v>103</v>
      </c>
      <c r="AH170" s="30" t="s">
        <v>7</v>
      </c>
      <c r="AI170" s="30"/>
    </row>
    <row r="171" spans="1:35" x14ac:dyDescent="0.3">
      <c r="A171" s="30">
        <v>84</v>
      </c>
      <c r="B171" s="30" t="s">
        <v>389</v>
      </c>
      <c r="C171" s="30" t="s">
        <v>19</v>
      </c>
      <c r="D171" s="31">
        <v>46113</v>
      </c>
      <c r="E171" s="30">
        <v>95</v>
      </c>
      <c r="F171" s="30">
        <v>0</v>
      </c>
      <c r="G171" s="32">
        <v>-4640756</v>
      </c>
      <c r="H171" s="30">
        <v>-754656231</v>
      </c>
      <c r="I171" s="30" t="s">
        <v>461</v>
      </c>
      <c r="J171" s="30" t="s">
        <v>410</v>
      </c>
      <c r="K171" s="30" t="s">
        <v>411</v>
      </c>
      <c r="L171" s="30" t="s">
        <v>203</v>
      </c>
      <c r="M171" s="30" t="s">
        <v>173</v>
      </c>
      <c r="N171" s="30" t="s">
        <v>397</v>
      </c>
      <c r="O171" s="30">
        <v>-3198.36</v>
      </c>
      <c r="P171" s="30">
        <v>1450.98</v>
      </c>
      <c r="Q171" s="30" t="s">
        <v>168</v>
      </c>
      <c r="R171" s="30" t="s">
        <v>169</v>
      </c>
      <c r="S171" s="30"/>
      <c r="T171" s="30"/>
      <c r="U171" s="30"/>
      <c r="V171" s="30" t="s">
        <v>172</v>
      </c>
      <c r="W171" s="30" t="s">
        <v>282</v>
      </c>
      <c r="X171" s="30" t="s">
        <v>174</v>
      </c>
      <c r="Y171" s="30" t="s">
        <v>528</v>
      </c>
      <c r="Z171" s="30">
        <v>1</v>
      </c>
      <c r="AA171" s="30" t="s">
        <v>337</v>
      </c>
      <c r="AB171" s="30">
        <v>13</v>
      </c>
      <c r="AC171" s="30" t="s">
        <v>338</v>
      </c>
      <c r="AD171" s="30" t="s">
        <v>178</v>
      </c>
      <c r="AE171" s="30" t="s">
        <v>19</v>
      </c>
      <c r="AF171" s="30" t="s">
        <v>99</v>
      </c>
      <c r="AG171" s="30" t="s">
        <v>103</v>
      </c>
      <c r="AH171" s="30" t="s">
        <v>7</v>
      </c>
      <c r="AI171" s="30"/>
    </row>
    <row r="172" spans="1:35" x14ac:dyDescent="0.3">
      <c r="A172" s="30">
        <v>85</v>
      </c>
      <c r="B172" s="30" t="s">
        <v>389</v>
      </c>
      <c r="C172" s="30" t="s">
        <v>19</v>
      </c>
      <c r="D172" s="31">
        <v>46113</v>
      </c>
      <c r="E172" s="30">
        <v>95</v>
      </c>
      <c r="F172" s="30">
        <v>0</v>
      </c>
      <c r="G172" s="32">
        <v>-4640756</v>
      </c>
      <c r="H172" s="30">
        <v>-759296987</v>
      </c>
      <c r="I172" s="30" t="s">
        <v>463</v>
      </c>
      <c r="J172" s="30" t="s">
        <v>410</v>
      </c>
      <c r="K172" s="30" t="s">
        <v>411</v>
      </c>
      <c r="L172" s="30" t="s">
        <v>203</v>
      </c>
      <c r="M172" s="30" t="s">
        <v>173</v>
      </c>
      <c r="N172" s="30" t="s">
        <v>397</v>
      </c>
      <c r="O172" s="30">
        <v>-3198.36</v>
      </c>
      <c r="P172" s="30">
        <v>1450.98</v>
      </c>
      <c r="Q172" s="30" t="s">
        <v>168</v>
      </c>
      <c r="R172" s="30" t="s">
        <v>169</v>
      </c>
      <c r="S172" s="30"/>
      <c r="T172" s="30"/>
      <c r="U172" s="30"/>
      <c r="V172" s="30" t="s">
        <v>172</v>
      </c>
      <c r="W172" s="30" t="s">
        <v>282</v>
      </c>
      <c r="X172" s="30" t="s">
        <v>174</v>
      </c>
      <c r="Y172" s="30" t="s">
        <v>528</v>
      </c>
      <c r="Z172" s="30">
        <v>3</v>
      </c>
      <c r="AA172" s="30" t="s">
        <v>337</v>
      </c>
      <c r="AB172" s="30">
        <v>13</v>
      </c>
      <c r="AC172" s="30" t="s">
        <v>338</v>
      </c>
      <c r="AD172" s="30" t="s">
        <v>178</v>
      </c>
      <c r="AE172" s="30" t="s">
        <v>19</v>
      </c>
      <c r="AF172" s="30" t="s">
        <v>99</v>
      </c>
      <c r="AG172" s="30" t="s">
        <v>103</v>
      </c>
      <c r="AH172" s="30" t="s">
        <v>7</v>
      </c>
      <c r="AI172" s="30"/>
    </row>
    <row r="173" spans="1:35" x14ac:dyDescent="0.3">
      <c r="A173" s="30">
        <v>86</v>
      </c>
      <c r="B173" s="30" t="s">
        <v>389</v>
      </c>
      <c r="C173" s="30" t="s">
        <v>19</v>
      </c>
      <c r="D173" s="31">
        <v>46113</v>
      </c>
      <c r="E173" s="30">
        <v>96</v>
      </c>
      <c r="F173" s="30">
        <v>0</v>
      </c>
      <c r="G173" s="32">
        <v>-4640756</v>
      </c>
      <c r="H173" s="30">
        <v>-763937743</v>
      </c>
      <c r="I173" s="30" t="s">
        <v>529</v>
      </c>
      <c r="J173" s="30" t="s">
        <v>410</v>
      </c>
      <c r="K173" s="30" t="s">
        <v>411</v>
      </c>
      <c r="L173" s="30" t="s">
        <v>203</v>
      </c>
      <c r="M173" s="30" t="s">
        <v>173</v>
      </c>
      <c r="N173" s="30" t="s">
        <v>397</v>
      </c>
      <c r="O173" s="30">
        <v>-3198.36</v>
      </c>
      <c r="P173" s="30">
        <v>1450.98</v>
      </c>
      <c r="Q173" s="30" t="s">
        <v>168</v>
      </c>
      <c r="R173" s="30" t="s">
        <v>169</v>
      </c>
      <c r="S173" s="30"/>
      <c r="T173" s="30"/>
      <c r="U173" s="30"/>
      <c r="V173" s="30" t="s">
        <v>172</v>
      </c>
      <c r="W173" s="30" t="s">
        <v>282</v>
      </c>
      <c r="X173" s="30" t="s">
        <v>174</v>
      </c>
      <c r="Y173" s="30" t="s">
        <v>530</v>
      </c>
      <c r="Z173" s="30">
        <v>1</v>
      </c>
      <c r="AA173" s="30" t="s">
        <v>197</v>
      </c>
      <c r="AB173" s="30">
        <v>11</v>
      </c>
      <c r="AC173" s="30" t="s">
        <v>177</v>
      </c>
      <c r="AD173" s="30" t="s">
        <v>178</v>
      </c>
      <c r="AE173" s="30" t="s">
        <v>19</v>
      </c>
      <c r="AF173" s="30" t="s">
        <v>99</v>
      </c>
      <c r="AG173" s="30" t="s">
        <v>103</v>
      </c>
      <c r="AH173" s="30" t="s">
        <v>7</v>
      </c>
      <c r="AI173" s="30"/>
    </row>
    <row r="174" spans="1:35" x14ac:dyDescent="0.3">
      <c r="A174" s="30">
        <v>87</v>
      </c>
      <c r="B174" s="30" t="s">
        <v>389</v>
      </c>
      <c r="C174" s="30" t="s">
        <v>19</v>
      </c>
      <c r="D174" s="31">
        <v>46137</v>
      </c>
      <c r="E174" s="30">
        <v>3</v>
      </c>
      <c r="F174" s="30">
        <v>0</v>
      </c>
      <c r="G174" s="32">
        <v>626787161</v>
      </c>
      <c r="H174" s="30">
        <v>-137150582</v>
      </c>
      <c r="I174" s="30" t="s">
        <v>531</v>
      </c>
      <c r="J174" s="30" t="s">
        <v>163</v>
      </c>
      <c r="K174" s="30" t="s">
        <v>164</v>
      </c>
      <c r="L174" s="30" t="s">
        <v>211</v>
      </c>
      <c r="M174" s="30" t="s">
        <v>212</v>
      </c>
      <c r="N174" s="30" t="s">
        <v>167</v>
      </c>
      <c r="O174" s="30">
        <v>626787161</v>
      </c>
      <c r="P174" s="30">
        <v>1</v>
      </c>
      <c r="Q174" s="30" t="s">
        <v>168</v>
      </c>
      <c r="R174" s="30" t="s">
        <v>169</v>
      </c>
      <c r="S174" s="30" t="s">
        <v>170</v>
      </c>
      <c r="T174" s="30" t="s">
        <v>171</v>
      </c>
      <c r="U174" s="30" t="s">
        <v>19</v>
      </c>
      <c r="V174" s="30" t="s">
        <v>172</v>
      </c>
      <c r="W174" s="30" t="s">
        <v>282</v>
      </c>
      <c r="X174" s="30" t="s">
        <v>174</v>
      </c>
      <c r="Y174" s="30" t="s">
        <v>532</v>
      </c>
      <c r="Z174" s="30">
        <v>1</v>
      </c>
      <c r="AA174" s="30" t="s">
        <v>176</v>
      </c>
      <c r="AB174" s="30">
        <v>11</v>
      </c>
      <c r="AC174" s="30" t="s">
        <v>177</v>
      </c>
      <c r="AD174" s="30" t="s">
        <v>178</v>
      </c>
      <c r="AE174" s="30" t="s">
        <v>19</v>
      </c>
      <c r="AF174" s="30" t="s">
        <v>99</v>
      </c>
      <c r="AG174" s="30" t="s">
        <v>37</v>
      </c>
      <c r="AH174" s="30" t="s">
        <v>7</v>
      </c>
      <c r="AI174" s="30" t="s">
        <v>111</v>
      </c>
    </row>
    <row r="175" spans="1:35" x14ac:dyDescent="0.3">
      <c r="A175" s="30">
        <v>88</v>
      </c>
      <c r="B175" s="30" t="s">
        <v>389</v>
      </c>
      <c r="C175" s="30" t="s">
        <v>19</v>
      </c>
      <c r="D175" s="31">
        <v>46137</v>
      </c>
      <c r="E175" s="30">
        <v>4</v>
      </c>
      <c r="F175" s="30">
        <v>0</v>
      </c>
      <c r="G175" s="32">
        <v>3576487</v>
      </c>
      <c r="H175" s="30">
        <v>-133574095</v>
      </c>
      <c r="I175" s="30" t="s">
        <v>533</v>
      </c>
      <c r="J175" s="30" t="s">
        <v>180</v>
      </c>
      <c r="K175" s="30" t="s">
        <v>181</v>
      </c>
      <c r="L175" s="30" t="s">
        <v>211</v>
      </c>
      <c r="M175" s="30" t="s">
        <v>212</v>
      </c>
      <c r="N175" s="30" t="s">
        <v>167</v>
      </c>
      <c r="O175" s="30">
        <v>3576487</v>
      </c>
      <c r="P175" s="30">
        <v>1</v>
      </c>
      <c r="Q175" s="30" t="s">
        <v>168</v>
      </c>
      <c r="R175" s="30" t="s">
        <v>169</v>
      </c>
      <c r="S175" s="30" t="s">
        <v>170</v>
      </c>
      <c r="T175" s="30" t="s">
        <v>171</v>
      </c>
      <c r="U175" s="30" t="s">
        <v>19</v>
      </c>
      <c r="V175" s="30" t="s">
        <v>172</v>
      </c>
      <c r="W175" s="30" t="s">
        <v>282</v>
      </c>
      <c r="X175" s="30" t="s">
        <v>174</v>
      </c>
      <c r="Y175" s="30" t="s">
        <v>534</v>
      </c>
      <c r="Z175" s="30">
        <v>1</v>
      </c>
      <c r="AA175" s="30" t="s">
        <v>176</v>
      </c>
      <c r="AB175" s="30">
        <v>11</v>
      </c>
      <c r="AC175" s="30" t="s">
        <v>177</v>
      </c>
      <c r="AD175" s="30" t="s">
        <v>178</v>
      </c>
      <c r="AE175" s="30" t="s">
        <v>19</v>
      </c>
      <c r="AF175" s="30" t="s">
        <v>99</v>
      </c>
      <c r="AG175" s="30" t="s">
        <v>36</v>
      </c>
      <c r="AH175" s="30" t="s">
        <v>7</v>
      </c>
      <c r="AI175" s="30"/>
    </row>
    <row r="176" spans="1:35" x14ac:dyDescent="0.3">
      <c r="A176" s="30">
        <v>89</v>
      </c>
      <c r="B176" s="30" t="s">
        <v>389</v>
      </c>
      <c r="C176" s="30" t="s">
        <v>19</v>
      </c>
      <c r="D176" s="31">
        <v>46137</v>
      </c>
      <c r="E176" s="30">
        <v>5</v>
      </c>
      <c r="F176" s="30">
        <v>0</v>
      </c>
      <c r="G176" s="32">
        <v>4894982</v>
      </c>
      <c r="H176" s="30">
        <v>-128679113</v>
      </c>
      <c r="I176" s="30" t="s">
        <v>535</v>
      </c>
      <c r="J176" s="30" t="s">
        <v>387</v>
      </c>
      <c r="K176" s="30" t="s">
        <v>388</v>
      </c>
      <c r="L176" s="30" t="s">
        <v>211</v>
      </c>
      <c r="M176" s="30" t="s">
        <v>212</v>
      </c>
      <c r="N176" s="30" t="s">
        <v>397</v>
      </c>
      <c r="O176" s="30">
        <v>3340.92</v>
      </c>
      <c r="P176" s="30">
        <v>1465.16</v>
      </c>
      <c r="Q176" s="30" t="s">
        <v>398</v>
      </c>
      <c r="R176" s="30" t="s">
        <v>53</v>
      </c>
      <c r="S176" s="30" t="s">
        <v>321</v>
      </c>
      <c r="T176" s="30" t="s">
        <v>171</v>
      </c>
      <c r="U176" s="30" t="s">
        <v>19</v>
      </c>
      <c r="V176" s="30" t="s">
        <v>172</v>
      </c>
      <c r="W176" s="30" t="s">
        <v>282</v>
      </c>
      <c r="X176" s="30" t="s">
        <v>174</v>
      </c>
      <c r="Y176" s="30" t="s">
        <v>536</v>
      </c>
      <c r="Z176" s="30">
        <v>1</v>
      </c>
      <c r="AA176" s="30" t="s">
        <v>176</v>
      </c>
      <c r="AB176" s="30">
        <v>11</v>
      </c>
      <c r="AC176" s="30" t="s">
        <v>177</v>
      </c>
      <c r="AD176" s="30" t="s">
        <v>178</v>
      </c>
      <c r="AE176" s="30" t="s">
        <v>19</v>
      </c>
      <c r="AF176" s="30" t="s">
        <v>99</v>
      </c>
      <c r="AG176" s="30" t="s">
        <v>105</v>
      </c>
      <c r="AH176" s="30" t="s">
        <v>7</v>
      </c>
      <c r="AI176" s="30" t="s">
        <v>106</v>
      </c>
    </row>
    <row r="177" spans="1:35" x14ac:dyDescent="0.3">
      <c r="A177" s="30">
        <v>90</v>
      </c>
      <c r="B177" s="30" t="s">
        <v>389</v>
      </c>
      <c r="C177" s="30" t="s">
        <v>19</v>
      </c>
      <c r="D177" s="31">
        <v>46137</v>
      </c>
      <c r="E177" s="30">
        <v>6</v>
      </c>
      <c r="F177" s="30">
        <v>0</v>
      </c>
      <c r="G177" s="32">
        <v>103880518</v>
      </c>
      <c r="H177" s="30">
        <v>-24798595</v>
      </c>
      <c r="I177" s="30" t="s">
        <v>537</v>
      </c>
      <c r="J177" s="30" t="s">
        <v>410</v>
      </c>
      <c r="K177" s="30" t="s">
        <v>411</v>
      </c>
      <c r="L177" s="30" t="s">
        <v>211</v>
      </c>
      <c r="M177" s="30" t="s">
        <v>212</v>
      </c>
      <c r="N177" s="30" t="s">
        <v>397</v>
      </c>
      <c r="O177" s="30">
        <v>70900.460000000006</v>
      </c>
      <c r="P177" s="30">
        <v>1465.16</v>
      </c>
      <c r="Q177" s="30" t="s">
        <v>412</v>
      </c>
      <c r="R177" s="30" t="s">
        <v>413</v>
      </c>
      <c r="S177" s="30" t="s">
        <v>321</v>
      </c>
      <c r="T177" s="30" t="s">
        <v>171</v>
      </c>
      <c r="U177" s="30" t="s">
        <v>19</v>
      </c>
      <c r="V177" s="30" t="s">
        <v>172</v>
      </c>
      <c r="W177" s="30" t="s">
        <v>282</v>
      </c>
      <c r="X177" s="30" t="s">
        <v>174</v>
      </c>
      <c r="Y177" s="30" t="s">
        <v>538</v>
      </c>
      <c r="Z177" s="30">
        <v>1</v>
      </c>
      <c r="AA177" s="30" t="s">
        <v>176</v>
      </c>
      <c r="AB177" s="30">
        <v>11</v>
      </c>
      <c r="AC177" s="30" t="s">
        <v>177</v>
      </c>
      <c r="AD177" s="30" t="s">
        <v>178</v>
      </c>
      <c r="AE177" s="30" t="s">
        <v>19</v>
      </c>
      <c r="AF177" s="30" t="s">
        <v>99</v>
      </c>
      <c r="AG177" s="30" t="s">
        <v>103</v>
      </c>
      <c r="AH177" s="30" t="s">
        <v>7</v>
      </c>
      <c r="AI177" s="30"/>
    </row>
    <row r="178" spans="1:35" x14ac:dyDescent="0.3">
      <c r="A178" s="30">
        <v>91</v>
      </c>
      <c r="B178" s="30" t="s">
        <v>389</v>
      </c>
      <c r="C178" s="30" t="s">
        <v>19</v>
      </c>
      <c r="D178" s="31">
        <v>46137</v>
      </c>
      <c r="E178" s="30">
        <v>8</v>
      </c>
      <c r="F178" s="30">
        <v>0</v>
      </c>
      <c r="G178" s="32">
        <v>9108709</v>
      </c>
      <c r="H178" s="30">
        <v>-15689886</v>
      </c>
      <c r="I178" s="30" t="s">
        <v>539</v>
      </c>
      <c r="J178" s="30" t="s">
        <v>410</v>
      </c>
      <c r="K178" s="30" t="s">
        <v>411</v>
      </c>
      <c r="L178" s="30" t="s">
        <v>203</v>
      </c>
      <c r="M178" s="30" t="s">
        <v>173</v>
      </c>
      <c r="N178" s="30" t="s">
        <v>397</v>
      </c>
      <c r="O178" s="30">
        <v>6216.87</v>
      </c>
      <c r="P178" s="30">
        <v>1465.16</v>
      </c>
      <c r="Q178" s="30" t="s">
        <v>168</v>
      </c>
      <c r="R178" s="30" t="s">
        <v>169</v>
      </c>
      <c r="S178" s="30" t="s">
        <v>321</v>
      </c>
      <c r="T178" s="30" t="s">
        <v>171</v>
      </c>
      <c r="U178" s="30" t="s">
        <v>19</v>
      </c>
      <c r="V178" s="30" t="s">
        <v>172</v>
      </c>
      <c r="W178" s="30" t="s">
        <v>282</v>
      </c>
      <c r="X178" s="30" t="s">
        <v>174</v>
      </c>
      <c r="Y178" s="30" t="s">
        <v>540</v>
      </c>
      <c r="Z178" s="30">
        <v>1</v>
      </c>
      <c r="AA178" s="30" t="s">
        <v>176</v>
      </c>
      <c r="AB178" s="30">
        <v>11</v>
      </c>
      <c r="AC178" s="30" t="s">
        <v>177</v>
      </c>
      <c r="AD178" s="30" t="s">
        <v>178</v>
      </c>
      <c r="AE178" s="30" t="s">
        <v>19</v>
      </c>
      <c r="AF178" s="30" t="s">
        <v>99</v>
      </c>
      <c r="AG178" s="30" t="s">
        <v>103</v>
      </c>
      <c r="AH178" s="30" t="s">
        <v>7</v>
      </c>
      <c r="AI178" s="30"/>
    </row>
    <row r="179" spans="1:35" x14ac:dyDescent="0.3">
      <c r="A179" s="30">
        <v>92</v>
      </c>
      <c r="B179" s="30" t="s">
        <v>389</v>
      </c>
      <c r="C179" s="30" t="s">
        <v>19</v>
      </c>
      <c r="D179" s="31">
        <v>46142</v>
      </c>
      <c r="E179" s="30">
        <v>990</v>
      </c>
      <c r="F179" s="30">
        <v>0</v>
      </c>
      <c r="G179" s="32">
        <v>500000</v>
      </c>
      <c r="H179" s="30">
        <v>-15189886</v>
      </c>
      <c r="I179" s="30" t="s">
        <v>541</v>
      </c>
      <c r="J179" s="30" t="s">
        <v>199</v>
      </c>
      <c r="K179" s="30" t="s">
        <v>200</v>
      </c>
      <c r="L179" s="30" t="s">
        <v>481</v>
      </c>
      <c r="M179" s="30" t="s">
        <v>245</v>
      </c>
      <c r="N179" s="30" t="s">
        <v>167</v>
      </c>
      <c r="O179" s="30">
        <v>500000</v>
      </c>
      <c r="P179" s="30">
        <v>1</v>
      </c>
      <c r="Q179" s="30" t="s">
        <v>168</v>
      </c>
      <c r="R179" s="30" t="s">
        <v>169</v>
      </c>
      <c r="S179" s="30" t="s">
        <v>170</v>
      </c>
      <c r="T179" s="30" t="s">
        <v>171</v>
      </c>
      <c r="U179" s="30" t="s">
        <v>19</v>
      </c>
      <c r="V179" s="30" t="s">
        <v>172</v>
      </c>
      <c r="W179" s="30" t="s">
        <v>282</v>
      </c>
      <c r="X179" s="30" t="s">
        <v>174</v>
      </c>
      <c r="Y179" s="30" t="s">
        <v>542</v>
      </c>
      <c r="Z179" s="30">
        <v>1</v>
      </c>
      <c r="AA179" s="30" t="s">
        <v>176</v>
      </c>
      <c r="AB179" s="30">
        <v>11</v>
      </c>
      <c r="AC179" s="30" t="s">
        <v>177</v>
      </c>
      <c r="AD179" s="30" t="s">
        <v>178</v>
      </c>
      <c r="AE179" s="30" t="s">
        <v>19</v>
      </c>
      <c r="AF179" s="30" t="s">
        <v>99</v>
      </c>
      <c r="AG179" s="30" t="s">
        <v>107</v>
      </c>
      <c r="AH179" s="30" t="s">
        <v>7</v>
      </c>
      <c r="AI179" s="30" t="s">
        <v>108</v>
      </c>
    </row>
    <row r="180" spans="1:35" x14ac:dyDescent="0.3">
      <c r="A180" s="30">
        <v>93</v>
      </c>
      <c r="B180" s="30" t="s">
        <v>389</v>
      </c>
      <c r="C180" s="30" t="s">
        <v>19</v>
      </c>
      <c r="D180" s="31">
        <v>46142</v>
      </c>
      <c r="E180" s="30">
        <v>1098</v>
      </c>
      <c r="F180" s="30">
        <v>0</v>
      </c>
      <c r="G180" s="32">
        <v>40543</v>
      </c>
      <c r="H180" s="30">
        <v>-15149343</v>
      </c>
      <c r="I180" s="30" t="s">
        <v>543</v>
      </c>
      <c r="J180" s="30" t="s">
        <v>192</v>
      </c>
      <c r="K180" s="30" t="s">
        <v>193</v>
      </c>
      <c r="L180" s="30" t="s">
        <v>226</v>
      </c>
      <c r="M180" s="30" t="s">
        <v>227</v>
      </c>
      <c r="N180" s="30" t="s">
        <v>167</v>
      </c>
      <c r="O180" s="30">
        <v>40543</v>
      </c>
      <c r="P180" s="30">
        <v>1</v>
      </c>
      <c r="Q180" s="30" t="s">
        <v>168</v>
      </c>
      <c r="R180" s="30" t="s">
        <v>169</v>
      </c>
      <c r="S180" s="30" t="s">
        <v>170</v>
      </c>
      <c r="T180" s="30" t="s">
        <v>171</v>
      </c>
      <c r="U180" s="30" t="s">
        <v>19</v>
      </c>
      <c r="V180" s="30" t="s">
        <v>172</v>
      </c>
      <c r="W180" s="30" t="s">
        <v>282</v>
      </c>
      <c r="X180" s="30" t="s">
        <v>174</v>
      </c>
      <c r="Y180" s="30" t="s">
        <v>544</v>
      </c>
      <c r="Z180" s="30">
        <v>1</v>
      </c>
      <c r="AA180" s="30" t="s">
        <v>176</v>
      </c>
      <c r="AB180" s="30">
        <v>11</v>
      </c>
      <c r="AC180" s="30" t="s">
        <v>177</v>
      </c>
      <c r="AD180" s="30" t="s">
        <v>178</v>
      </c>
      <c r="AE180" s="30" t="s">
        <v>19</v>
      </c>
      <c r="AF180" s="30" t="s">
        <v>99</v>
      </c>
      <c r="AG180" s="30" t="s">
        <v>109</v>
      </c>
      <c r="AH180" s="30" t="s">
        <v>7</v>
      </c>
      <c r="AI180" s="30"/>
    </row>
    <row r="181" spans="1:35" x14ac:dyDescent="0.3">
      <c r="A181" s="30">
        <v>94</v>
      </c>
      <c r="B181" s="30" t="s">
        <v>389</v>
      </c>
      <c r="C181" s="30" t="s">
        <v>19</v>
      </c>
      <c r="D181" s="31">
        <v>46142</v>
      </c>
      <c r="E181" s="30">
        <v>1123</v>
      </c>
      <c r="F181" s="30">
        <v>0</v>
      </c>
      <c r="G181" s="32">
        <v>208929054</v>
      </c>
      <c r="H181" s="30">
        <v>193779711</v>
      </c>
      <c r="I181" s="30" t="s">
        <v>545</v>
      </c>
      <c r="J181" s="30" t="s">
        <v>163</v>
      </c>
      <c r="K181" s="30" t="s">
        <v>164</v>
      </c>
      <c r="L181" s="30" t="s">
        <v>203</v>
      </c>
      <c r="M181" s="30" t="s">
        <v>173</v>
      </c>
      <c r="N181" s="30" t="s">
        <v>167</v>
      </c>
      <c r="O181" s="30">
        <v>208929054</v>
      </c>
      <c r="P181" s="30">
        <v>1</v>
      </c>
      <c r="Q181" s="30" t="s">
        <v>168</v>
      </c>
      <c r="R181" s="30" t="s">
        <v>169</v>
      </c>
      <c r="S181" s="30"/>
      <c r="T181" s="30"/>
      <c r="U181" s="30"/>
      <c r="V181" s="30" t="s">
        <v>172</v>
      </c>
      <c r="W181" s="30" t="s">
        <v>282</v>
      </c>
      <c r="X181" s="30" t="s">
        <v>174</v>
      </c>
      <c r="Y181" s="30" t="s">
        <v>546</v>
      </c>
      <c r="Z181" s="30">
        <v>2</v>
      </c>
      <c r="AA181" s="30" t="s">
        <v>197</v>
      </c>
      <c r="AB181" s="30">
        <v>12</v>
      </c>
      <c r="AC181" s="30" t="s">
        <v>205</v>
      </c>
      <c r="AD181" s="30" t="s">
        <v>178</v>
      </c>
      <c r="AE181" s="30" t="s">
        <v>19</v>
      </c>
      <c r="AF181" s="30" t="s">
        <v>99</v>
      </c>
      <c r="AG181" s="30" t="s">
        <v>37</v>
      </c>
      <c r="AH181" s="30" t="s">
        <v>7</v>
      </c>
      <c r="AI181" s="30" t="s">
        <v>111</v>
      </c>
    </row>
    <row r="182" spans="1:35" x14ac:dyDescent="0.3">
      <c r="A182" s="30">
        <v>95</v>
      </c>
      <c r="B182" s="30" t="s">
        <v>389</v>
      </c>
      <c r="C182" s="30" t="s">
        <v>19</v>
      </c>
      <c r="D182" s="31">
        <v>46142</v>
      </c>
      <c r="E182" s="30">
        <v>1118</v>
      </c>
      <c r="F182" s="30">
        <v>0</v>
      </c>
      <c r="G182" s="32">
        <v>16370879</v>
      </c>
      <c r="H182" s="30">
        <v>210150590</v>
      </c>
      <c r="I182" s="30" t="s">
        <v>547</v>
      </c>
      <c r="J182" s="30" t="s">
        <v>180</v>
      </c>
      <c r="K182" s="30" t="s">
        <v>181</v>
      </c>
      <c r="L182" s="30" t="s">
        <v>203</v>
      </c>
      <c r="M182" s="30" t="s">
        <v>173</v>
      </c>
      <c r="N182" s="30" t="s">
        <v>167</v>
      </c>
      <c r="O182" s="30">
        <v>16370879</v>
      </c>
      <c r="P182" s="30">
        <v>1</v>
      </c>
      <c r="Q182" s="30" t="s">
        <v>168</v>
      </c>
      <c r="R182" s="30" t="s">
        <v>169</v>
      </c>
      <c r="S182" s="30" t="s">
        <v>170</v>
      </c>
      <c r="T182" s="30" t="s">
        <v>171</v>
      </c>
      <c r="U182" s="30" t="s">
        <v>19</v>
      </c>
      <c r="V182" s="30" t="s">
        <v>172</v>
      </c>
      <c r="W182" s="30" t="s">
        <v>282</v>
      </c>
      <c r="X182" s="30" t="s">
        <v>174</v>
      </c>
      <c r="Y182" s="30" t="s">
        <v>548</v>
      </c>
      <c r="Z182" s="30">
        <v>1</v>
      </c>
      <c r="AA182" s="30" t="s">
        <v>176</v>
      </c>
      <c r="AB182" s="30">
        <v>11</v>
      </c>
      <c r="AC182" s="30" t="s">
        <v>177</v>
      </c>
      <c r="AD182" s="30" t="s">
        <v>178</v>
      </c>
      <c r="AE182" s="30" t="s">
        <v>19</v>
      </c>
      <c r="AF182" s="30" t="s">
        <v>99</v>
      </c>
      <c r="AG182" s="30" t="s">
        <v>36</v>
      </c>
      <c r="AH182" s="30" t="s">
        <v>7</v>
      </c>
      <c r="AI182" s="30"/>
    </row>
    <row r="183" spans="1:35" x14ac:dyDescent="0.3">
      <c r="A183" s="30">
        <v>96</v>
      </c>
      <c r="B183" s="30" t="s">
        <v>389</v>
      </c>
      <c r="C183" s="30" t="s">
        <v>19</v>
      </c>
      <c r="D183" s="31">
        <v>46142</v>
      </c>
      <c r="E183" s="30">
        <v>1118</v>
      </c>
      <c r="F183" s="30">
        <v>0</v>
      </c>
      <c r="G183" s="32">
        <v>19341330</v>
      </c>
      <c r="H183" s="30">
        <v>229491920</v>
      </c>
      <c r="I183" s="30" t="s">
        <v>549</v>
      </c>
      <c r="J183" s="30" t="s">
        <v>163</v>
      </c>
      <c r="K183" s="30" t="s">
        <v>164</v>
      </c>
      <c r="L183" s="30" t="s">
        <v>203</v>
      </c>
      <c r="M183" s="30" t="s">
        <v>173</v>
      </c>
      <c r="N183" s="30" t="s">
        <v>167</v>
      </c>
      <c r="O183" s="30">
        <v>19341330</v>
      </c>
      <c r="P183" s="30">
        <v>1</v>
      </c>
      <c r="Q183" s="30" t="s">
        <v>168</v>
      </c>
      <c r="R183" s="30" t="s">
        <v>169</v>
      </c>
      <c r="S183" s="30" t="s">
        <v>321</v>
      </c>
      <c r="T183" s="30" t="s">
        <v>171</v>
      </c>
      <c r="U183" s="30" t="s">
        <v>19</v>
      </c>
      <c r="V183" s="30" t="s">
        <v>172</v>
      </c>
      <c r="W183" s="30" t="s">
        <v>282</v>
      </c>
      <c r="X183" s="30" t="s">
        <v>174</v>
      </c>
      <c r="Y183" s="30" t="s">
        <v>548</v>
      </c>
      <c r="Z183" s="30">
        <v>4</v>
      </c>
      <c r="AA183" s="30" t="s">
        <v>176</v>
      </c>
      <c r="AB183" s="30">
        <v>11</v>
      </c>
      <c r="AC183" s="30" t="s">
        <v>177</v>
      </c>
      <c r="AD183" s="30" t="s">
        <v>178</v>
      </c>
      <c r="AE183" s="30" t="s">
        <v>19</v>
      </c>
      <c r="AF183" s="30" t="s">
        <v>99</v>
      </c>
      <c r="AG183" s="30" t="s">
        <v>37</v>
      </c>
      <c r="AH183" s="30" t="s">
        <v>7</v>
      </c>
      <c r="AI183" s="30" t="s">
        <v>111</v>
      </c>
    </row>
    <row r="184" spans="1:35" x14ac:dyDescent="0.3">
      <c r="A184" s="30">
        <v>97</v>
      </c>
      <c r="B184" s="30" t="s">
        <v>389</v>
      </c>
      <c r="C184" s="30" t="s">
        <v>19</v>
      </c>
      <c r="D184" s="31">
        <v>46142</v>
      </c>
      <c r="E184" s="30">
        <v>1119</v>
      </c>
      <c r="F184" s="30">
        <v>0</v>
      </c>
      <c r="G184" s="32">
        <v>5538410</v>
      </c>
      <c r="H184" s="30">
        <v>235030330</v>
      </c>
      <c r="I184" s="30" t="s">
        <v>550</v>
      </c>
      <c r="J184" s="30" t="s">
        <v>163</v>
      </c>
      <c r="K184" s="30" t="s">
        <v>164</v>
      </c>
      <c r="L184" s="30" t="s">
        <v>203</v>
      </c>
      <c r="M184" s="30" t="s">
        <v>173</v>
      </c>
      <c r="N184" s="30" t="s">
        <v>167</v>
      </c>
      <c r="O184" s="30">
        <v>5538410</v>
      </c>
      <c r="P184" s="30">
        <v>1</v>
      </c>
      <c r="Q184" s="30" t="s">
        <v>168</v>
      </c>
      <c r="R184" s="30" t="s">
        <v>169</v>
      </c>
      <c r="S184" s="30" t="s">
        <v>170</v>
      </c>
      <c r="T184" s="30" t="s">
        <v>171</v>
      </c>
      <c r="U184" s="30" t="s">
        <v>19</v>
      </c>
      <c r="V184" s="30" t="s">
        <v>172</v>
      </c>
      <c r="W184" s="30" t="s">
        <v>282</v>
      </c>
      <c r="X184" s="30" t="s">
        <v>174</v>
      </c>
      <c r="Y184" s="30" t="s">
        <v>551</v>
      </c>
      <c r="Z184" s="30">
        <v>1</v>
      </c>
      <c r="AA184" s="30" t="s">
        <v>176</v>
      </c>
      <c r="AB184" s="30">
        <v>11</v>
      </c>
      <c r="AC184" s="30" t="s">
        <v>177</v>
      </c>
      <c r="AD184" s="30" t="s">
        <v>178</v>
      </c>
      <c r="AE184" s="30" t="s">
        <v>19</v>
      </c>
      <c r="AF184" s="30" t="s">
        <v>99</v>
      </c>
      <c r="AG184" s="30" t="s">
        <v>37</v>
      </c>
      <c r="AH184" s="30" t="s">
        <v>7</v>
      </c>
      <c r="AI184" s="30" t="s">
        <v>111</v>
      </c>
    </row>
    <row r="185" spans="1:35" x14ac:dyDescent="0.3">
      <c r="A185" s="30">
        <v>98</v>
      </c>
      <c r="B185" s="30" t="s">
        <v>389</v>
      </c>
      <c r="C185" s="30" t="s">
        <v>19</v>
      </c>
      <c r="D185" s="31">
        <v>46142</v>
      </c>
      <c r="E185" s="30">
        <v>1145</v>
      </c>
      <c r="F185" s="30">
        <v>0</v>
      </c>
      <c r="G185" s="32">
        <v>1192162</v>
      </c>
      <c r="H185" s="30">
        <v>236222492</v>
      </c>
      <c r="I185" s="30" t="s">
        <v>552</v>
      </c>
      <c r="J185" s="30" t="s">
        <v>180</v>
      </c>
      <c r="K185" s="30" t="s">
        <v>181</v>
      </c>
      <c r="L185" s="30" t="s">
        <v>203</v>
      </c>
      <c r="M185" s="30" t="s">
        <v>173</v>
      </c>
      <c r="N185" s="30" t="s">
        <v>167</v>
      </c>
      <c r="O185" s="30">
        <v>1192162</v>
      </c>
      <c r="P185" s="30">
        <v>1</v>
      </c>
      <c r="Q185" s="30" t="s">
        <v>168</v>
      </c>
      <c r="R185" s="30" t="s">
        <v>169</v>
      </c>
      <c r="S185" s="30"/>
      <c r="T185" s="30"/>
      <c r="U185" s="30"/>
      <c r="V185" s="30" t="s">
        <v>172</v>
      </c>
      <c r="W185" s="30" t="s">
        <v>282</v>
      </c>
      <c r="X185" s="30" t="s">
        <v>174</v>
      </c>
      <c r="Y185" s="30" t="s">
        <v>553</v>
      </c>
      <c r="Z185" s="30">
        <v>1</v>
      </c>
      <c r="AA185" s="30" t="s">
        <v>197</v>
      </c>
      <c r="AB185" s="30">
        <v>12</v>
      </c>
      <c r="AC185" s="30" t="s">
        <v>205</v>
      </c>
      <c r="AD185" s="30" t="s">
        <v>178</v>
      </c>
      <c r="AE185" s="30" t="s">
        <v>19</v>
      </c>
      <c r="AF185" s="30" t="s">
        <v>99</v>
      </c>
      <c r="AG185" s="30" t="s">
        <v>36</v>
      </c>
      <c r="AH185" s="30" t="s">
        <v>7</v>
      </c>
      <c r="AI185" s="30"/>
    </row>
    <row r="186" spans="1:35" x14ac:dyDescent="0.3">
      <c r="A186" s="30">
        <v>99</v>
      </c>
      <c r="B186" s="30" t="s">
        <v>389</v>
      </c>
      <c r="C186" s="30" t="s">
        <v>19</v>
      </c>
      <c r="D186" s="31">
        <v>46142</v>
      </c>
      <c r="E186" s="30">
        <v>1143</v>
      </c>
      <c r="F186" s="30">
        <v>0</v>
      </c>
      <c r="G186" s="32">
        <v>1631660</v>
      </c>
      <c r="H186" s="30">
        <v>237854152</v>
      </c>
      <c r="I186" s="30" t="s">
        <v>554</v>
      </c>
      <c r="J186" s="30" t="s">
        <v>387</v>
      </c>
      <c r="K186" s="30" t="s">
        <v>388</v>
      </c>
      <c r="L186" s="30" t="s">
        <v>203</v>
      </c>
      <c r="M186" s="30" t="s">
        <v>173</v>
      </c>
      <c r="N186" s="30" t="s">
        <v>397</v>
      </c>
      <c r="O186" s="30">
        <v>1113.6400000000001</v>
      </c>
      <c r="P186" s="30">
        <v>1465.16</v>
      </c>
      <c r="Q186" s="30" t="s">
        <v>168</v>
      </c>
      <c r="R186" s="30" t="s">
        <v>169</v>
      </c>
      <c r="S186" s="30"/>
      <c r="T186" s="30"/>
      <c r="U186" s="30"/>
      <c r="V186" s="30" t="s">
        <v>172</v>
      </c>
      <c r="W186" s="30" t="s">
        <v>282</v>
      </c>
      <c r="X186" s="30" t="s">
        <v>174</v>
      </c>
      <c r="Y186" s="30" t="s">
        <v>555</v>
      </c>
      <c r="Z186" s="30">
        <v>2</v>
      </c>
      <c r="AA186" s="30" t="s">
        <v>197</v>
      </c>
      <c r="AB186" s="30">
        <v>12</v>
      </c>
      <c r="AC186" s="30" t="s">
        <v>205</v>
      </c>
      <c r="AD186" s="30" t="s">
        <v>178</v>
      </c>
      <c r="AE186" s="30" t="s">
        <v>19</v>
      </c>
      <c r="AF186" s="30" t="s">
        <v>99</v>
      </c>
      <c r="AG186" s="30" t="s">
        <v>105</v>
      </c>
      <c r="AH186" s="30" t="s">
        <v>7</v>
      </c>
      <c r="AI186" s="30" t="s">
        <v>106</v>
      </c>
    </row>
    <row r="187" spans="1:35" x14ac:dyDescent="0.3">
      <c r="A187" s="30">
        <v>100</v>
      </c>
      <c r="B187" s="30" t="s">
        <v>389</v>
      </c>
      <c r="C187" s="30" t="s">
        <v>19</v>
      </c>
      <c r="D187" s="31">
        <v>46142</v>
      </c>
      <c r="E187" s="30">
        <v>1140</v>
      </c>
      <c r="F187" s="30">
        <v>0</v>
      </c>
      <c r="G187" s="32">
        <v>34626844</v>
      </c>
      <c r="H187" s="30">
        <v>272480996</v>
      </c>
      <c r="I187" s="30" t="s">
        <v>556</v>
      </c>
      <c r="J187" s="30" t="s">
        <v>410</v>
      </c>
      <c r="K187" s="30" t="s">
        <v>411</v>
      </c>
      <c r="L187" s="30" t="s">
        <v>203</v>
      </c>
      <c r="M187" s="30" t="s">
        <v>173</v>
      </c>
      <c r="N187" s="30" t="s">
        <v>397</v>
      </c>
      <c r="O187" s="30">
        <v>23633.49</v>
      </c>
      <c r="P187" s="30">
        <v>1465.16</v>
      </c>
      <c r="Q187" s="30" t="s">
        <v>412</v>
      </c>
      <c r="R187" s="30" t="s">
        <v>413</v>
      </c>
      <c r="S187" s="30"/>
      <c r="T187" s="30"/>
      <c r="U187" s="30"/>
      <c r="V187" s="30" t="s">
        <v>172</v>
      </c>
      <c r="W187" s="30" t="s">
        <v>282</v>
      </c>
      <c r="X187" s="30" t="s">
        <v>174</v>
      </c>
      <c r="Y187" s="30" t="s">
        <v>557</v>
      </c>
      <c r="Z187" s="30">
        <v>1</v>
      </c>
      <c r="AA187" s="30" t="s">
        <v>197</v>
      </c>
      <c r="AB187" s="30">
        <v>12</v>
      </c>
      <c r="AC187" s="30" t="s">
        <v>205</v>
      </c>
      <c r="AD187" s="30" t="s">
        <v>178</v>
      </c>
      <c r="AE187" s="30" t="s">
        <v>19</v>
      </c>
      <c r="AF187" s="30" t="s">
        <v>99</v>
      </c>
      <c r="AG187" s="30" t="s">
        <v>103</v>
      </c>
      <c r="AH187" s="30" t="s">
        <v>7</v>
      </c>
      <c r="AI187" s="30"/>
    </row>
    <row r="188" spans="1:35" x14ac:dyDescent="0.3">
      <c r="A188" s="30">
        <v>101</v>
      </c>
      <c r="B188" s="30" t="s">
        <v>389</v>
      </c>
      <c r="C188" s="30" t="s">
        <v>19</v>
      </c>
      <c r="D188" s="31">
        <v>46142</v>
      </c>
      <c r="E188" s="30">
        <v>1130</v>
      </c>
      <c r="F188" s="30">
        <v>0</v>
      </c>
      <c r="G188" s="32">
        <v>27422513</v>
      </c>
      <c r="H188" s="30">
        <v>299903509</v>
      </c>
      <c r="I188" s="30" t="s">
        <v>558</v>
      </c>
      <c r="J188" s="30" t="s">
        <v>432</v>
      </c>
      <c r="K188" s="30" t="s">
        <v>433</v>
      </c>
      <c r="L188" s="30" t="s">
        <v>203</v>
      </c>
      <c r="M188" s="30" t="s">
        <v>173</v>
      </c>
      <c r="N188" s="30" t="s">
        <v>167</v>
      </c>
      <c r="O188" s="30">
        <v>27422513</v>
      </c>
      <c r="P188" s="30">
        <v>1</v>
      </c>
      <c r="Q188" s="30" t="s">
        <v>168</v>
      </c>
      <c r="R188" s="30" t="s">
        <v>169</v>
      </c>
      <c r="S188" s="30"/>
      <c r="T188" s="30"/>
      <c r="U188" s="30"/>
      <c r="V188" s="30" t="s">
        <v>172</v>
      </c>
      <c r="W188" s="30" t="s">
        <v>282</v>
      </c>
      <c r="X188" s="30" t="s">
        <v>434</v>
      </c>
      <c r="Y188" s="30" t="s">
        <v>559</v>
      </c>
      <c r="Z188" s="30">
        <v>3</v>
      </c>
      <c r="AA188" s="30" t="s">
        <v>197</v>
      </c>
      <c r="AB188" s="30">
        <v>11</v>
      </c>
      <c r="AC188" s="30" t="s">
        <v>177</v>
      </c>
      <c r="AD188" s="30" t="s">
        <v>178</v>
      </c>
      <c r="AE188" s="30" t="s">
        <v>19</v>
      </c>
      <c r="AF188" s="30" t="s">
        <v>99</v>
      </c>
      <c r="AG188" s="30" t="s">
        <v>73</v>
      </c>
      <c r="AH188" s="30" t="s">
        <v>7</v>
      </c>
      <c r="AI188" s="30" t="s">
        <v>104</v>
      </c>
    </row>
    <row r="189" spans="1:35" x14ac:dyDescent="0.3">
      <c r="A189" s="30">
        <v>102</v>
      </c>
      <c r="B189" s="30" t="s">
        <v>389</v>
      </c>
      <c r="C189" s="30" t="s">
        <v>19</v>
      </c>
      <c r="D189" s="31">
        <v>46142</v>
      </c>
      <c r="E189" s="30">
        <v>1130</v>
      </c>
      <c r="F189" s="30">
        <v>0</v>
      </c>
      <c r="G189" s="32">
        <v>522396</v>
      </c>
      <c r="H189" s="30">
        <v>300425905</v>
      </c>
      <c r="I189" s="30" t="s">
        <v>560</v>
      </c>
      <c r="J189" s="30" t="s">
        <v>432</v>
      </c>
      <c r="K189" s="30" t="s">
        <v>433</v>
      </c>
      <c r="L189" s="30" t="s">
        <v>203</v>
      </c>
      <c r="M189" s="30" t="s">
        <v>173</v>
      </c>
      <c r="N189" s="30" t="s">
        <v>167</v>
      </c>
      <c r="O189" s="30">
        <v>522396</v>
      </c>
      <c r="P189" s="30">
        <v>1</v>
      </c>
      <c r="Q189" s="30" t="s">
        <v>168</v>
      </c>
      <c r="R189" s="30" t="s">
        <v>169</v>
      </c>
      <c r="S189" s="30"/>
      <c r="T189" s="30"/>
      <c r="U189" s="30"/>
      <c r="V189" s="30" t="s">
        <v>172</v>
      </c>
      <c r="W189" s="30" t="s">
        <v>282</v>
      </c>
      <c r="X189" s="30" t="s">
        <v>434</v>
      </c>
      <c r="Y189" s="30" t="s">
        <v>559</v>
      </c>
      <c r="Z189" s="30">
        <v>6</v>
      </c>
      <c r="AA189" s="30" t="s">
        <v>197</v>
      </c>
      <c r="AB189" s="30">
        <v>11</v>
      </c>
      <c r="AC189" s="30" t="s">
        <v>177</v>
      </c>
      <c r="AD189" s="30" t="s">
        <v>178</v>
      </c>
      <c r="AE189" s="30" t="s">
        <v>19</v>
      </c>
      <c r="AF189" s="30" t="s">
        <v>99</v>
      </c>
      <c r="AG189" s="30" t="s">
        <v>73</v>
      </c>
      <c r="AH189" s="30" t="s">
        <v>7</v>
      </c>
      <c r="AI189" s="30" t="s">
        <v>104</v>
      </c>
    </row>
    <row r="190" spans="1:35" x14ac:dyDescent="0.3">
      <c r="A190" s="30">
        <v>103</v>
      </c>
      <c r="B190" s="30" t="s">
        <v>389</v>
      </c>
      <c r="C190" s="30" t="s">
        <v>19</v>
      </c>
      <c r="D190" s="31">
        <v>46142</v>
      </c>
      <c r="E190" s="30">
        <v>1130</v>
      </c>
      <c r="F190" s="30">
        <v>0</v>
      </c>
      <c r="G190" s="32">
        <v>2146816</v>
      </c>
      <c r="H190" s="30">
        <v>302572721</v>
      </c>
      <c r="I190" s="30" t="s">
        <v>561</v>
      </c>
      <c r="J190" s="30" t="s">
        <v>432</v>
      </c>
      <c r="K190" s="30" t="s">
        <v>433</v>
      </c>
      <c r="L190" s="30" t="s">
        <v>203</v>
      </c>
      <c r="M190" s="30" t="s">
        <v>173</v>
      </c>
      <c r="N190" s="30" t="s">
        <v>167</v>
      </c>
      <c r="O190" s="30">
        <v>2146816</v>
      </c>
      <c r="P190" s="30">
        <v>1</v>
      </c>
      <c r="Q190" s="30" t="s">
        <v>168</v>
      </c>
      <c r="R190" s="30" t="s">
        <v>169</v>
      </c>
      <c r="S190" s="30"/>
      <c r="T190" s="30"/>
      <c r="U190" s="30"/>
      <c r="V190" s="30" t="s">
        <v>172</v>
      </c>
      <c r="W190" s="30" t="s">
        <v>282</v>
      </c>
      <c r="X190" s="30" t="s">
        <v>434</v>
      </c>
      <c r="Y190" s="30" t="s">
        <v>559</v>
      </c>
      <c r="Z190" s="30">
        <v>9</v>
      </c>
      <c r="AA190" s="30" t="s">
        <v>197</v>
      </c>
      <c r="AB190" s="30">
        <v>11</v>
      </c>
      <c r="AC190" s="30" t="s">
        <v>177</v>
      </c>
      <c r="AD190" s="30" t="s">
        <v>178</v>
      </c>
      <c r="AE190" s="30" t="s">
        <v>19</v>
      </c>
      <c r="AF190" s="30" t="s">
        <v>99</v>
      </c>
      <c r="AG190" s="30" t="s">
        <v>73</v>
      </c>
      <c r="AH190" s="30" t="s">
        <v>7</v>
      </c>
      <c r="AI190" s="30" t="s">
        <v>104</v>
      </c>
    </row>
    <row r="191" spans="1:35" x14ac:dyDescent="0.3">
      <c r="A191" s="30">
        <v>104</v>
      </c>
      <c r="B191" s="30" t="s">
        <v>389</v>
      </c>
      <c r="C191" s="30" t="s">
        <v>19</v>
      </c>
      <c r="D191" s="31">
        <v>46142</v>
      </c>
      <c r="E191" s="30">
        <v>1129</v>
      </c>
      <c r="F191" s="30">
        <v>0</v>
      </c>
      <c r="G191" s="32">
        <v>2393</v>
      </c>
      <c r="H191" s="30">
        <v>302575114</v>
      </c>
      <c r="I191" s="30" t="s">
        <v>562</v>
      </c>
      <c r="J191" s="30" t="s">
        <v>432</v>
      </c>
      <c r="K191" s="30" t="s">
        <v>433</v>
      </c>
      <c r="L191" s="30" t="s">
        <v>194</v>
      </c>
      <c r="M191" s="30" t="s">
        <v>195</v>
      </c>
      <c r="N191" s="30" t="s">
        <v>167</v>
      </c>
      <c r="O191" s="30">
        <v>2393</v>
      </c>
      <c r="P191" s="30">
        <v>1</v>
      </c>
      <c r="Q191" s="30" t="s">
        <v>168</v>
      </c>
      <c r="R191" s="30" t="s">
        <v>169</v>
      </c>
      <c r="S191" s="30"/>
      <c r="T191" s="30"/>
      <c r="U191" s="30"/>
      <c r="V191" s="30" t="s">
        <v>172</v>
      </c>
      <c r="W191" s="30" t="s">
        <v>282</v>
      </c>
      <c r="X191" s="30" t="s">
        <v>434</v>
      </c>
      <c r="Y191" s="30" t="s">
        <v>563</v>
      </c>
      <c r="Z191" s="30">
        <v>3</v>
      </c>
      <c r="AA191" s="30" t="s">
        <v>197</v>
      </c>
      <c r="AB191" s="30">
        <v>11</v>
      </c>
      <c r="AC191" s="30" t="s">
        <v>177</v>
      </c>
      <c r="AD191" s="30" t="s">
        <v>178</v>
      </c>
      <c r="AE191" s="30" t="s">
        <v>19</v>
      </c>
      <c r="AF191" s="30" t="s">
        <v>99</v>
      </c>
      <c r="AG191" s="30" t="s">
        <v>73</v>
      </c>
      <c r="AH191" s="30" t="s">
        <v>7</v>
      </c>
      <c r="AI191" s="30" t="s">
        <v>104</v>
      </c>
    </row>
    <row r="192" spans="1:35" x14ac:dyDescent="0.3">
      <c r="A192" s="30">
        <v>105</v>
      </c>
      <c r="B192" s="30" t="s">
        <v>389</v>
      </c>
      <c r="C192" s="30" t="s">
        <v>19</v>
      </c>
      <c r="D192" s="31">
        <v>46142</v>
      </c>
      <c r="E192" s="30">
        <v>1129</v>
      </c>
      <c r="F192" s="30">
        <v>0</v>
      </c>
      <c r="G192" s="32">
        <v>15483289</v>
      </c>
      <c r="H192" s="30">
        <v>318058403</v>
      </c>
      <c r="I192" s="30" t="s">
        <v>564</v>
      </c>
      <c r="J192" s="30" t="s">
        <v>432</v>
      </c>
      <c r="K192" s="30" t="s">
        <v>433</v>
      </c>
      <c r="L192" s="30" t="s">
        <v>194</v>
      </c>
      <c r="M192" s="30" t="s">
        <v>195</v>
      </c>
      <c r="N192" s="30" t="s">
        <v>167</v>
      </c>
      <c r="O192" s="30">
        <v>15483289</v>
      </c>
      <c r="P192" s="30">
        <v>1</v>
      </c>
      <c r="Q192" s="30" t="s">
        <v>168</v>
      </c>
      <c r="R192" s="30" t="s">
        <v>169</v>
      </c>
      <c r="S192" s="30"/>
      <c r="T192" s="30"/>
      <c r="U192" s="30"/>
      <c r="V192" s="30" t="s">
        <v>172</v>
      </c>
      <c r="W192" s="30" t="s">
        <v>282</v>
      </c>
      <c r="X192" s="30" t="s">
        <v>434</v>
      </c>
      <c r="Y192" s="30" t="s">
        <v>563</v>
      </c>
      <c r="Z192" s="30">
        <v>6</v>
      </c>
      <c r="AA192" s="30" t="s">
        <v>197</v>
      </c>
      <c r="AB192" s="30">
        <v>11</v>
      </c>
      <c r="AC192" s="30" t="s">
        <v>177</v>
      </c>
      <c r="AD192" s="30" t="s">
        <v>178</v>
      </c>
      <c r="AE192" s="30" t="s">
        <v>19</v>
      </c>
      <c r="AF192" s="30" t="s">
        <v>99</v>
      </c>
      <c r="AG192" s="30" t="s">
        <v>73</v>
      </c>
      <c r="AH192" s="30" t="s">
        <v>7</v>
      </c>
      <c r="AI192" s="30" t="s">
        <v>104</v>
      </c>
    </row>
    <row r="193" spans="1:35" x14ac:dyDescent="0.3">
      <c r="A193" s="30">
        <v>106</v>
      </c>
      <c r="B193" s="30" t="s">
        <v>389</v>
      </c>
      <c r="C193" s="30" t="s">
        <v>19</v>
      </c>
      <c r="D193" s="31">
        <v>46142</v>
      </c>
      <c r="E193" s="30">
        <v>1128</v>
      </c>
      <c r="F193" s="30">
        <v>0</v>
      </c>
      <c r="G193" s="32">
        <v>49579662</v>
      </c>
      <c r="H193" s="30">
        <v>367638065</v>
      </c>
      <c r="I193" s="30" t="s">
        <v>565</v>
      </c>
      <c r="J193" s="30" t="s">
        <v>443</v>
      </c>
      <c r="K193" s="30" t="s">
        <v>444</v>
      </c>
      <c r="L193" s="30" t="s">
        <v>194</v>
      </c>
      <c r="M193" s="30" t="s">
        <v>195</v>
      </c>
      <c r="N193" s="30" t="s">
        <v>167</v>
      </c>
      <c r="O193" s="30">
        <v>49579662</v>
      </c>
      <c r="P193" s="30">
        <v>1</v>
      </c>
      <c r="Q193" s="30" t="s">
        <v>168</v>
      </c>
      <c r="R193" s="30" t="s">
        <v>169</v>
      </c>
      <c r="S193" s="30"/>
      <c r="T193" s="30"/>
      <c r="U193" s="30"/>
      <c r="V193" s="30" t="s">
        <v>172</v>
      </c>
      <c r="W193" s="30" t="s">
        <v>282</v>
      </c>
      <c r="X193" s="30" t="s">
        <v>434</v>
      </c>
      <c r="Y193" s="30" t="s">
        <v>566</v>
      </c>
      <c r="Z193" s="30">
        <v>3</v>
      </c>
      <c r="AA193" s="30" t="s">
        <v>197</v>
      </c>
      <c r="AB193" s="30">
        <v>11</v>
      </c>
      <c r="AC193" s="30" t="s">
        <v>177</v>
      </c>
      <c r="AD193" s="30" t="s">
        <v>178</v>
      </c>
      <c r="AE193" s="30" t="s">
        <v>19</v>
      </c>
      <c r="AF193" s="30" t="s">
        <v>99</v>
      </c>
      <c r="AG193" s="30" t="s">
        <v>74</v>
      </c>
      <c r="AH193" s="30" t="s">
        <v>7</v>
      </c>
      <c r="AI193" s="30" t="s">
        <v>104</v>
      </c>
    </row>
    <row r="194" spans="1:35" x14ac:dyDescent="0.3">
      <c r="A194" s="30">
        <v>107</v>
      </c>
      <c r="B194" s="30" t="s">
        <v>389</v>
      </c>
      <c r="C194" s="30" t="s">
        <v>19</v>
      </c>
      <c r="D194" s="31">
        <v>46142</v>
      </c>
      <c r="E194" s="30">
        <v>1294</v>
      </c>
      <c r="F194" s="30">
        <v>0</v>
      </c>
      <c r="G194" s="32">
        <v>3036237</v>
      </c>
      <c r="H194" s="30">
        <v>370674302</v>
      </c>
      <c r="I194" s="30" t="s">
        <v>567</v>
      </c>
      <c r="J194" s="30" t="s">
        <v>410</v>
      </c>
      <c r="K194" s="30" t="s">
        <v>411</v>
      </c>
      <c r="L194" s="30" t="s">
        <v>203</v>
      </c>
      <c r="M194" s="30" t="s">
        <v>173</v>
      </c>
      <c r="N194" s="30" t="s">
        <v>397</v>
      </c>
      <c r="O194" s="30">
        <v>2072.29</v>
      </c>
      <c r="P194" s="30">
        <v>1465.16</v>
      </c>
      <c r="Q194" s="30" t="s">
        <v>168</v>
      </c>
      <c r="R194" s="30" t="s">
        <v>169</v>
      </c>
      <c r="S194" s="30"/>
      <c r="T194" s="30"/>
      <c r="U194" s="30"/>
      <c r="V194" s="30" t="s">
        <v>172</v>
      </c>
      <c r="W194" s="30" t="s">
        <v>282</v>
      </c>
      <c r="X194" s="30" t="s">
        <v>174</v>
      </c>
      <c r="Y194" s="30" t="s">
        <v>568</v>
      </c>
      <c r="Z194" s="30">
        <v>1</v>
      </c>
      <c r="AA194" s="30" t="s">
        <v>197</v>
      </c>
      <c r="AB194" s="30">
        <v>12</v>
      </c>
      <c r="AC194" s="30" t="s">
        <v>205</v>
      </c>
      <c r="AD194" s="30" t="s">
        <v>178</v>
      </c>
      <c r="AE194" s="30" t="s">
        <v>19</v>
      </c>
      <c r="AF194" s="30" t="s">
        <v>99</v>
      </c>
      <c r="AG194" s="30" t="s">
        <v>103</v>
      </c>
      <c r="AH194" s="30" t="s">
        <v>7</v>
      </c>
      <c r="AI194" s="30"/>
    </row>
    <row r="195" spans="1:35" x14ac:dyDescent="0.3">
      <c r="A195" s="30">
        <v>1</v>
      </c>
      <c r="B195" s="30" t="s">
        <v>569</v>
      </c>
      <c r="C195" s="30" t="s">
        <v>570</v>
      </c>
      <c r="D195" s="31">
        <v>46023</v>
      </c>
      <c r="E195" s="30">
        <v>33</v>
      </c>
      <c r="F195" s="30">
        <v>0</v>
      </c>
      <c r="G195" s="32">
        <v>-508945449</v>
      </c>
      <c r="H195" s="30">
        <v>-508945449</v>
      </c>
      <c r="I195" s="30" t="s">
        <v>571</v>
      </c>
      <c r="J195" s="30" t="s">
        <v>572</v>
      </c>
      <c r="K195" s="30" t="s">
        <v>573</v>
      </c>
      <c r="L195" s="30" t="s">
        <v>194</v>
      </c>
      <c r="M195" s="30" t="s">
        <v>195</v>
      </c>
      <c r="N195" s="30" t="s">
        <v>397</v>
      </c>
      <c r="O195" s="30">
        <v>-354164.8</v>
      </c>
      <c r="P195" s="30">
        <v>1437.03</v>
      </c>
      <c r="Q195" s="30" t="s">
        <v>168</v>
      </c>
      <c r="R195" s="30" t="s">
        <v>169</v>
      </c>
      <c r="S195" s="30"/>
      <c r="T195" s="30"/>
      <c r="U195" s="30"/>
      <c r="V195" s="30" t="s">
        <v>172</v>
      </c>
      <c r="W195" s="30" t="s">
        <v>173</v>
      </c>
      <c r="X195" s="30" t="s">
        <v>228</v>
      </c>
      <c r="Y195" s="30" t="s">
        <v>574</v>
      </c>
      <c r="Z195" s="30">
        <v>7</v>
      </c>
      <c r="AA195" s="30" t="s">
        <v>575</v>
      </c>
      <c r="AB195" s="30">
        <v>11</v>
      </c>
      <c r="AC195" s="30" t="s">
        <v>177</v>
      </c>
      <c r="AD195" s="30" t="s">
        <v>178</v>
      </c>
      <c r="AE195" s="30" t="s">
        <v>8</v>
      </c>
      <c r="AF195" s="30" t="s">
        <v>28</v>
      </c>
      <c r="AG195" s="30" t="s">
        <v>9</v>
      </c>
      <c r="AH195" s="30" t="s">
        <v>4</v>
      </c>
      <c r="AI195" s="30"/>
    </row>
    <row r="196" spans="1:35" x14ac:dyDescent="0.3">
      <c r="A196" s="30">
        <v>2</v>
      </c>
      <c r="B196" s="30" t="s">
        <v>569</v>
      </c>
      <c r="C196" s="30" t="s">
        <v>570</v>
      </c>
      <c r="D196" s="31">
        <v>46023</v>
      </c>
      <c r="E196" s="30">
        <v>33</v>
      </c>
      <c r="F196" s="30">
        <v>0</v>
      </c>
      <c r="G196" s="32">
        <v>-351004733</v>
      </c>
      <c r="H196" s="30">
        <v>-859950182</v>
      </c>
      <c r="I196" s="30" t="s">
        <v>576</v>
      </c>
      <c r="J196" s="30" t="s">
        <v>572</v>
      </c>
      <c r="K196" s="30" t="s">
        <v>573</v>
      </c>
      <c r="L196" s="30" t="s">
        <v>194</v>
      </c>
      <c r="M196" s="30" t="s">
        <v>195</v>
      </c>
      <c r="N196" s="30" t="s">
        <v>397</v>
      </c>
      <c r="O196" s="30">
        <v>-244257.07</v>
      </c>
      <c r="P196" s="30">
        <v>1437.03</v>
      </c>
      <c r="Q196" s="30" t="s">
        <v>168</v>
      </c>
      <c r="R196" s="30" t="s">
        <v>169</v>
      </c>
      <c r="S196" s="30"/>
      <c r="T196" s="30"/>
      <c r="U196" s="30"/>
      <c r="V196" s="30" t="s">
        <v>172</v>
      </c>
      <c r="W196" s="30" t="s">
        <v>173</v>
      </c>
      <c r="X196" s="30" t="s">
        <v>228</v>
      </c>
      <c r="Y196" s="30" t="s">
        <v>574</v>
      </c>
      <c r="Z196" s="30">
        <v>8</v>
      </c>
      <c r="AA196" s="30" t="s">
        <v>575</v>
      </c>
      <c r="AB196" s="30">
        <v>11</v>
      </c>
      <c r="AC196" s="30" t="s">
        <v>177</v>
      </c>
      <c r="AD196" s="30" t="s">
        <v>178</v>
      </c>
      <c r="AE196" s="30" t="s">
        <v>8</v>
      </c>
      <c r="AF196" s="30" t="s">
        <v>28</v>
      </c>
      <c r="AG196" s="30" t="s">
        <v>9</v>
      </c>
      <c r="AH196" s="30" t="s">
        <v>4</v>
      </c>
      <c r="AI196" s="30"/>
    </row>
    <row r="197" spans="1:35" x14ac:dyDescent="0.3">
      <c r="A197" s="30">
        <v>3</v>
      </c>
      <c r="B197" s="30" t="s">
        <v>569</v>
      </c>
      <c r="C197" s="30" t="s">
        <v>570</v>
      </c>
      <c r="D197" s="31">
        <v>46023</v>
      </c>
      <c r="E197" s="30">
        <v>33</v>
      </c>
      <c r="F197" s="30">
        <v>0</v>
      </c>
      <c r="G197" s="32">
        <v>-1968025843</v>
      </c>
      <c r="H197" s="30">
        <v>-2827976025</v>
      </c>
      <c r="I197" s="30" t="s">
        <v>577</v>
      </c>
      <c r="J197" s="30" t="s">
        <v>572</v>
      </c>
      <c r="K197" s="30" t="s">
        <v>573</v>
      </c>
      <c r="L197" s="30" t="s">
        <v>194</v>
      </c>
      <c r="M197" s="30" t="s">
        <v>195</v>
      </c>
      <c r="N197" s="30" t="s">
        <v>397</v>
      </c>
      <c r="O197" s="30">
        <v>-1369509.23</v>
      </c>
      <c r="P197" s="30">
        <v>1437.03</v>
      </c>
      <c r="Q197" s="30" t="s">
        <v>168</v>
      </c>
      <c r="R197" s="30" t="s">
        <v>169</v>
      </c>
      <c r="S197" s="30"/>
      <c r="T197" s="30"/>
      <c r="U197" s="30"/>
      <c r="V197" s="30" t="s">
        <v>172</v>
      </c>
      <c r="W197" s="30" t="s">
        <v>173</v>
      </c>
      <c r="X197" s="30" t="s">
        <v>228</v>
      </c>
      <c r="Y197" s="30" t="s">
        <v>574</v>
      </c>
      <c r="Z197" s="30">
        <v>9</v>
      </c>
      <c r="AA197" s="30" t="s">
        <v>575</v>
      </c>
      <c r="AB197" s="30">
        <v>11</v>
      </c>
      <c r="AC197" s="30" t="s">
        <v>177</v>
      </c>
      <c r="AD197" s="30" t="s">
        <v>178</v>
      </c>
      <c r="AE197" s="30" t="s">
        <v>8</v>
      </c>
      <c r="AF197" s="30" t="s">
        <v>28</v>
      </c>
      <c r="AG197" s="30" t="s">
        <v>9</v>
      </c>
      <c r="AH197" s="30" t="s">
        <v>4</v>
      </c>
      <c r="AI197" s="30"/>
    </row>
    <row r="198" spans="1:35" x14ac:dyDescent="0.3">
      <c r="A198" s="30">
        <v>4</v>
      </c>
      <c r="B198" s="30" t="s">
        <v>569</v>
      </c>
      <c r="C198" s="30" t="s">
        <v>570</v>
      </c>
      <c r="D198" s="31">
        <v>46053</v>
      </c>
      <c r="E198" s="30">
        <v>1098</v>
      </c>
      <c r="F198" s="30">
        <v>0</v>
      </c>
      <c r="G198" s="32">
        <v>772262657</v>
      </c>
      <c r="H198" s="30">
        <v>-2055713368</v>
      </c>
      <c r="I198" s="30" t="s">
        <v>578</v>
      </c>
      <c r="J198" s="30" t="s">
        <v>579</v>
      </c>
      <c r="K198" s="30" t="s">
        <v>580</v>
      </c>
      <c r="L198" s="30" t="s">
        <v>194</v>
      </c>
      <c r="M198" s="30" t="s">
        <v>195</v>
      </c>
      <c r="N198" s="30" t="s">
        <v>397</v>
      </c>
      <c r="O198" s="30">
        <v>530214.46</v>
      </c>
      <c r="P198" s="30">
        <v>1456.51</v>
      </c>
      <c r="Q198" s="30" t="s">
        <v>168</v>
      </c>
      <c r="R198" s="30" t="s">
        <v>169</v>
      </c>
      <c r="S198" s="30"/>
      <c r="T198" s="30"/>
      <c r="U198" s="30"/>
      <c r="V198" s="30" t="s">
        <v>172</v>
      </c>
      <c r="W198" s="30" t="s">
        <v>173</v>
      </c>
      <c r="X198" s="30" t="s">
        <v>189</v>
      </c>
      <c r="Y198" s="30" t="s">
        <v>581</v>
      </c>
      <c r="Z198" s="30">
        <v>5</v>
      </c>
      <c r="AA198" s="30" t="s">
        <v>197</v>
      </c>
      <c r="AB198" s="30">
        <v>11</v>
      </c>
      <c r="AC198" s="30" t="s">
        <v>177</v>
      </c>
      <c r="AD198" s="30" t="s">
        <v>178</v>
      </c>
      <c r="AE198" s="30" t="s">
        <v>8</v>
      </c>
      <c r="AF198" s="30" t="s">
        <v>28</v>
      </c>
      <c r="AG198" s="30" t="s">
        <v>15</v>
      </c>
      <c r="AH198" s="30" t="s">
        <v>4</v>
      </c>
      <c r="AI198" s="30"/>
    </row>
    <row r="199" spans="1:35" x14ac:dyDescent="0.3">
      <c r="A199" s="30">
        <v>5</v>
      </c>
      <c r="B199" s="30" t="s">
        <v>569</v>
      </c>
      <c r="C199" s="30" t="s">
        <v>570</v>
      </c>
      <c r="D199" s="31">
        <v>46053</v>
      </c>
      <c r="E199" s="30">
        <v>316</v>
      </c>
      <c r="F199" s="30">
        <v>0</v>
      </c>
      <c r="G199" s="32">
        <v>661983</v>
      </c>
      <c r="H199" s="30">
        <v>-2055051385</v>
      </c>
      <c r="I199" s="30" t="s">
        <v>582</v>
      </c>
      <c r="J199" s="30" t="s">
        <v>299</v>
      </c>
      <c r="K199" s="30" t="s">
        <v>300</v>
      </c>
      <c r="L199" s="30" t="s">
        <v>211</v>
      </c>
      <c r="M199" s="30" t="s">
        <v>212</v>
      </c>
      <c r="N199" s="30" t="s">
        <v>167</v>
      </c>
      <c r="O199" s="30">
        <v>661983</v>
      </c>
      <c r="P199" s="30">
        <v>1</v>
      </c>
      <c r="Q199" s="30" t="s">
        <v>583</v>
      </c>
      <c r="R199" s="30" t="s">
        <v>584</v>
      </c>
      <c r="S199" s="30" t="s">
        <v>170</v>
      </c>
      <c r="T199" s="30" t="s">
        <v>171</v>
      </c>
      <c r="U199" s="30" t="s">
        <v>570</v>
      </c>
      <c r="V199" s="30" t="s">
        <v>172</v>
      </c>
      <c r="W199" s="30" t="s">
        <v>173</v>
      </c>
      <c r="X199" s="30" t="s">
        <v>189</v>
      </c>
      <c r="Y199" s="30" t="s">
        <v>585</v>
      </c>
      <c r="Z199" s="30">
        <v>1</v>
      </c>
      <c r="AA199" s="30" t="s">
        <v>176</v>
      </c>
      <c r="AB199" s="30">
        <v>11</v>
      </c>
      <c r="AC199" s="30" t="s">
        <v>177</v>
      </c>
      <c r="AD199" s="30" t="s">
        <v>178</v>
      </c>
      <c r="AE199" s="30" t="s">
        <v>8</v>
      </c>
      <c r="AF199" s="30" t="s">
        <v>28</v>
      </c>
      <c r="AG199" s="30" t="s">
        <v>32</v>
      </c>
      <c r="AH199" s="30" t="s">
        <v>4</v>
      </c>
      <c r="AI199" s="30"/>
    </row>
    <row r="200" spans="1:35" x14ac:dyDescent="0.3">
      <c r="A200" s="30">
        <v>6</v>
      </c>
      <c r="B200" s="30" t="s">
        <v>569</v>
      </c>
      <c r="C200" s="30" t="s">
        <v>570</v>
      </c>
      <c r="D200" s="31">
        <v>46053</v>
      </c>
      <c r="E200" s="30">
        <v>1056</v>
      </c>
      <c r="F200" s="30">
        <v>0</v>
      </c>
      <c r="G200" s="32">
        <v>83040819</v>
      </c>
      <c r="H200" s="30">
        <v>-1972010566</v>
      </c>
      <c r="I200" s="30" t="s">
        <v>586</v>
      </c>
      <c r="J200" s="30" t="s">
        <v>587</v>
      </c>
      <c r="K200" s="30" t="s">
        <v>588</v>
      </c>
      <c r="L200" s="30" t="s">
        <v>194</v>
      </c>
      <c r="M200" s="30" t="s">
        <v>195</v>
      </c>
      <c r="N200" s="30" t="s">
        <v>167</v>
      </c>
      <c r="O200" s="30">
        <v>83040819</v>
      </c>
      <c r="P200" s="30">
        <v>1</v>
      </c>
      <c r="Q200" s="30" t="s">
        <v>168</v>
      </c>
      <c r="R200" s="30" t="s">
        <v>169</v>
      </c>
      <c r="S200" s="30"/>
      <c r="T200" s="30"/>
      <c r="U200" s="30"/>
      <c r="V200" s="30" t="s">
        <v>172</v>
      </c>
      <c r="W200" s="30" t="s">
        <v>173</v>
      </c>
      <c r="X200" s="30" t="s">
        <v>589</v>
      </c>
      <c r="Y200" s="30" t="s">
        <v>590</v>
      </c>
      <c r="Z200" s="30">
        <v>93</v>
      </c>
      <c r="AA200" s="30" t="s">
        <v>575</v>
      </c>
      <c r="AB200" s="30">
        <v>11</v>
      </c>
      <c r="AC200" s="30" t="s">
        <v>177</v>
      </c>
      <c r="AD200" s="30" t="s">
        <v>178</v>
      </c>
      <c r="AE200" s="30" t="s">
        <v>8</v>
      </c>
      <c r="AF200" s="30" t="s">
        <v>38</v>
      </c>
      <c r="AG200" s="30" t="s">
        <v>14</v>
      </c>
      <c r="AH200" s="30" t="s">
        <v>4</v>
      </c>
      <c r="AI200" s="30"/>
    </row>
    <row r="201" spans="1:35" x14ac:dyDescent="0.3">
      <c r="A201" s="30">
        <v>7</v>
      </c>
      <c r="B201" s="30" t="s">
        <v>569</v>
      </c>
      <c r="C201" s="30" t="s">
        <v>570</v>
      </c>
      <c r="D201" s="31">
        <v>46053</v>
      </c>
      <c r="E201" s="30">
        <v>1056</v>
      </c>
      <c r="F201" s="30">
        <v>0</v>
      </c>
      <c r="G201" s="32">
        <v>488387273</v>
      </c>
      <c r="H201" s="30">
        <v>-1483623293</v>
      </c>
      <c r="I201" s="30" t="s">
        <v>591</v>
      </c>
      <c r="J201" s="30" t="s">
        <v>587</v>
      </c>
      <c r="K201" s="30" t="s">
        <v>588</v>
      </c>
      <c r="L201" s="30" t="s">
        <v>194</v>
      </c>
      <c r="M201" s="30" t="s">
        <v>195</v>
      </c>
      <c r="N201" s="30" t="s">
        <v>167</v>
      </c>
      <c r="O201" s="30">
        <v>488387273</v>
      </c>
      <c r="P201" s="30">
        <v>1</v>
      </c>
      <c r="Q201" s="30" t="s">
        <v>168</v>
      </c>
      <c r="R201" s="30" t="s">
        <v>169</v>
      </c>
      <c r="S201" s="30"/>
      <c r="T201" s="30"/>
      <c r="U201" s="30"/>
      <c r="V201" s="30" t="s">
        <v>172</v>
      </c>
      <c r="W201" s="30" t="s">
        <v>173</v>
      </c>
      <c r="X201" s="30" t="s">
        <v>589</v>
      </c>
      <c r="Y201" s="30" t="s">
        <v>590</v>
      </c>
      <c r="Z201" s="30">
        <v>94</v>
      </c>
      <c r="AA201" s="30" t="s">
        <v>575</v>
      </c>
      <c r="AB201" s="30">
        <v>11</v>
      </c>
      <c r="AC201" s="30" t="s">
        <v>177</v>
      </c>
      <c r="AD201" s="30" t="s">
        <v>178</v>
      </c>
      <c r="AE201" s="30" t="s">
        <v>8</v>
      </c>
      <c r="AF201" s="30" t="s">
        <v>38</v>
      </c>
      <c r="AG201" s="30" t="s">
        <v>14</v>
      </c>
      <c r="AH201" s="30" t="s">
        <v>4</v>
      </c>
      <c r="AI201" s="30"/>
    </row>
    <row r="202" spans="1:35" x14ac:dyDescent="0.3">
      <c r="A202" s="30">
        <v>8</v>
      </c>
      <c r="B202" s="30" t="s">
        <v>569</v>
      </c>
      <c r="C202" s="30" t="s">
        <v>570</v>
      </c>
      <c r="D202" s="31">
        <v>46053</v>
      </c>
      <c r="E202" s="30">
        <v>1056</v>
      </c>
      <c r="F202" s="30">
        <v>0</v>
      </c>
      <c r="G202" s="32">
        <v>110270091</v>
      </c>
      <c r="H202" s="30">
        <v>-1373353202</v>
      </c>
      <c r="I202" s="30" t="s">
        <v>592</v>
      </c>
      <c r="J202" s="30" t="s">
        <v>587</v>
      </c>
      <c r="K202" s="30" t="s">
        <v>588</v>
      </c>
      <c r="L202" s="30" t="s">
        <v>194</v>
      </c>
      <c r="M202" s="30" t="s">
        <v>195</v>
      </c>
      <c r="N202" s="30" t="s">
        <v>167</v>
      </c>
      <c r="O202" s="30">
        <v>110270091</v>
      </c>
      <c r="P202" s="30">
        <v>1</v>
      </c>
      <c r="Q202" s="30" t="s">
        <v>168</v>
      </c>
      <c r="R202" s="30" t="s">
        <v>169</v>
      </c>
      <c r="S202" s="30"/>
      <c r="T202" s="30"/>
      <c r="U202" s="30"/>
      <c r="V202" s="30" t="s">
        <v>172</v>
      </c>
      <c r="W202" s="30" t="s">
        <v>173</v>
      </c>
      <c r="X202" s="30" t="s">
        <v>589</v>
      </c>
      <c r="Y202" s="30" t="s">
        <v>590</v>
      </c>
      <c r="Z202" s="30">
        <v>95</v>
      </c>
      <c r="AA202" s="30" t="s">
        <v>575</v>
      </c>
      <c r="AB202" s="30">
        <v>11</v>
      </c>
      <c r="AC202" s="30" t="s">
        <v>177</v>
      </c>
      <c r="AD202" s="30" t="s">
        <v>178</v>
      </c>
      <c r="AE202" s="30" t="s">
        <v>8</v>
      </c>
      <c r="AF202" s="30" t="s">
        <v>38</v>
      </c>
      <c r="AG202" s="30" t="s">
        <v>14</v>
      </c>
      <c r="AH202" s="30" t="s">
        <v>4</v>
      </c>
      <c r="AI202" s="30"/>
    </row>
    <row r="203" spans="1:35" x14ac:dyDescent="0.3">
      <c r="A203" s="30">
        <v>9</v>
      </c>
      <c r="B203" s="30" t="s">
        <v>569</v>
      </c>
      <c r="C203" s="30" t="s">
        <v>570</v>
      </c>
      <c r="D203" s="31">
        <v>46053</v>
      </c>
      <c r="E203" s="30">
        <v>1056</v>
      </c>
      <c r="F203" s="30">
        <v>0</v>
      </c>
      <c r="G203" s="32">
        <v>445819</v>
      </c>
      <c r="H203" s="30">
        <v>-1372907383</v>
      </c>
      <c r="I203" s="30" t="s">
        <v>593</v>
      </c>
      <c r="J203" s="30" t="s">
        <v>587</v>
      </c>
      <c r="K203" s="30" t="s">
        <v>588</v>
      </c>
      <c r="L203" s="30" t="s">
        <v>194</v>
      </c>
      <c r="M203" s="30" t="s">
        <v>195</v>
      </c>
      <c r="N203" s="30" t="s">
        <v>167</v>
      </c>
      <c r="O203" s="30">
        <v>445819</v>
      </c>
      <c r="P203" s="30">
        <v>1</v>
      </c>
      <c r="Q203" s="30" t="s">
        <v>168</v>
      </c>
      <c r="R203" s="30" t="s">
        <v>169</v>
      </c>
      <c r="S203" s="30"/>
      <c r="T203" s="30"/>
      <c r="U203" s="30"/>
      <c r="V203" s="30" t="s">
        <v>172</v>
      </c>
      <c r="W203" s="30" t="s">
        <v>173</v>
      </c>
      <c r="X203" s="30" t="s">
        <v>589</v>
      </c>
      <c r="Y203" s="30" t="s">
        <v>590</v>
      </c>
      <c r="Z203" s="30">
        <v>96</v>
      </c>
      <c r="AA203" s="30" t="s">
        <v>575</v>
      </c>
      <c r="AB203" s="30">
        <v>11</v>
      </c>
      <c r="AC203" s="30" t="s">
        <v>177</v>
      </c>
      <c r="AD203" s="30" t="s">
        <v>178</v>
      </c>
      <c r="AE203" s="30" t="s">
        <v>8</v>
      </c>
      <c r="AF203" s="30" t="s">
        <v>38</v>
      </c>
      <c r="AG203" s="30" t="s">
        <v>14</v>
      </c>
      <c r="AH203" s="30" t="s">
        <v>4</v>
      </c>
      <c r="AI203" s="30"/>
    </row>
    <row r="204" spans="1:35" x14ac:dyDescent="0.3">
      <c r="A204" s="30">
        <v>10</v>
      </c>
      <c r="B204" s="30" t="s">
        <v>569</v>
      </c>
      <c r="C204" s="30" t="s">
        <v>570</v>
      </c>
      <c r="D204" s="31">
        <v>46053</v>
      </c>
      <c r="E204" s="30">
        <v>1056</v>
      </c>
      <c r="F204" s="30">
        <v>0</v>
      </c>
      <c r="G204" s="32">
        <v>30501819</v>
      </c>
      <c r="H204" s="30">
        <v>-1342405564</v>
      </c>
      <c r="I204" s="30" t="s">
        <v>594</v>
      </c>
      <c r="J204" s="30" t="s">
        <v>587</v>
      </c>
      <c r="K204" s="30" t="s">
        <v>588</v>
      </c>
      <c r="L204" s="30" t="s">
        <v>194</v>
      </c>
      <c r="M204" s="30" t="s">
        <v>195</v>
      </c>
      <c r="N204" s="30" t="s">
        <v>167</v>
      </c>
      <c r="O204" s="30">
        <v>30501819</v>
      </c>
      <c r="P204" s="30">
        <v>1</v>
      </c>
      <c r="Q204" s="30" t="s">
        <v>168</v>
      </c>
      <c r="R204" s="30" t="s">
        <v>169</v>
      </c>
      <c r="S204" s="30"/>
      <c r="T204" s="30"/>
      <c r="U204" s="30"/>
      <c r="V204" s="30" t="s">
        <v>172</v>
      </c>
      <c r="W204" s="30" t="s">
        <v>173</v>
      </c>
      <c r="X204" s="30" t="s">
        <v>589</v>
      </c>
      <c r="Y204" s="30" t="s">
        <v>590</v>
      </c>
      <c r="Z204" s="30">
        <v>97</v>
      </c>
      <c r="AA204" s="30" t="s">
        <v>575</v>
      </c>
      <c r="AB204" s="30">
        <v>11</v>
      </c>
      <c r="AC204" s="30" t="s">
        <v>177</v>
      </c>
      <c r="AD204" s="30" t="s">
        <v>178</v>
      </c>
      <c r="AE204" s="30" t="s">
        <v>8</v>
      </c>
      <c r="AF204" s="30" t="s">
        <v>38</v>
      </c>
      <c r="AG204" s="30" t="s">
        <v>14</v>
      </c>
      <c r="AH204" s="30" t="s">
        <v>4</v>
      </c>
      <c r="AI204" s="30"/>
    </row>
    <row r="205" spans="1:35" x14ac:dyDescent="0.3">
      <c r="A205" s="30">
        <v>11</v>
      </c>
      <c r="B205" s="30" t="s">
        <v>569</v>
      </c>
      <c r="C205" s="30" t="s">
        <v>570</v>
      </c>
      <c r="D205" s="31">
        <v>46053</v>
      </c>
      <c r="E205" s="30">
        <v>1056</v>
      </c>
      <c r="F205" s="30">
        <v>0</v>
      </c>
      <c r="G205" s="32">
        <v>12179273</v>
      </c>
      <c r="H205" s="30">
        <v>-1330226291</v>
      </c>
      <c r="I205" s="30" t="s">
        <v>595</v>
      </c>
      <c r="J205" s="30" t="s">
        <v>587</v>
      </c>
      <c r="K205" s="30" t="s">
        <v>588</v>
      </c>
      <c r="L205" s="30" t="s">
        <v>194</v>
      </c>
      <c r="M205" s="30" t="s">
        <v>195</v>
      </c>
      <c r="N205" s="30" t="s">
        <v>167</v>
      </c>
      <c r="O205" s="30">
        <v>12179273</v>
      </c>
      <c r="P205" s="30">
        <v>1</v>
      </c>
      <c r="Q205" s="30" t="s">
        <v>168</v>
      </c>
      <c r="R205" s="30" t="s">
        <v>169</v>
      </c>
      <c r="S205" s="30"/>
      <c r="T205" s="30"/>
      <c r="U205" s="30"/>
      <c r="V205" s="30" t="s">
        <v>172</v>
      </c>
      <c r="W205" s="30" t="s">
        <v>173</v>
      </c>
      <c r="X205" s="30" t="s">
        <v>589</v>
      </c>
      <c r="Y205" s="30" t="s">
        <v>590</v>
      </c>
      <c r="Z205" s="30">
        <v>98</v>
      </c>
      <c r="AA205" s="30" t="s">
        <v>575</v>
      </c>
      <c r="AB205" s="30">
        <v>11</v>
      </c>
      <c r="AC205" s="30" t="s">
        <v>177</v>
      </c>
      <c r="AD205" s="30" t="s">
        <v>178</v>
      </c>
      <c r="AE205" s="30" t="s">
        <v>8</v>
      </c>
      <c r="AF205" s="30" t="s">
        <v>38</v>
      </c>
      <c r="AG205" s="30" t="s">
        <v>14</v>
      </c>
      <c r="AH205" s="30" t="s">
        <v>4</v>
      </c>
      <c r="AI205" s="30"/>
    </row>
    <row r="206" spans="1:35" x14ac:dyDescent="0.3">
      <c r="A206" s="30">
        <v>12</v>
      </c>
      <c r="B206" s="30" t="s">
        <v>569</v>
      </c>
      <c r="C206" s="30" t="s">
        <v>570</v>
      </c>
      <c r="D206" s="31">
        <v>46053</v>
      </c>
      <c r="E206" s="30">
        <v>1056</v>
      </c>
      <c r="F206" s="30">
        <v>0</v>
      </c>
      <c r="G206" s="32">
        <v>1800000</v>
      </c>
      <c r="H206" s="30">
        <v>-1328426291</v>
      </c>
      <c r="I206" s="30" t="s">
        <v>596</v>
      </c>
      <c r="J206" s="30" t="s">
        <v>587</v>
      </c>
      <c r="K206" s="30" t="s">
        <v>588</v>
      </c>
      <c r="L206" s="30" t="s">
        <v>194</v>
      </c>
      <c r="M206" s="30" t="s">
        <v>195</v>
      </c>
      <c r="N206" s="30" t="s">
        <v>167</v>
      </c>
      <c r="O206" s="30">
        <v>1800000</v>
      </c>
      <c r="P206" s="30">
        <v>1</v>
      </c>
      <c r="Q206" s="30" t="s">
        <v>168</v>
      </c>
      <c r="R206" s="30" t="s">
        <v>169</v>
      </c>
      <c r="S206" s="30"/>
      <c r="T206" s="30"/>
      <c r="U206" s="30"/>
      <c r="V206" s="30" t="s">
        <v>172</v>
      </c>
      <c r="W206" s="30" t="s">
        <v>173</v>
      </c>
      <c r="X206" s="30" t="s">
        <v>589</v>
      </c>
      <c r="Y206" s="30" t="s">
        <v>590</v>
      </c>
      <c r="Z206" s="30">
        <v>99</v>
      </c>
      <c r="AA206" s="30" t="s">
        <v>575</v>
      </c>
      <c r="AB206" s="30">
        <v>11</v>
      </c>
      <c r="AC206" s="30" t="s">
        <v>177</v>
      </c>
      <c r="AD206" s="30" t="s">
        <v>178</v>
      </c>
      <c r="AE206" s="30" t="s">
        <v>8</v>
      </c>
      <c r="AF206" s="30" t="s">
        <v>38</v>
      </c>
      <c r="AG206" s="30" t="s">
        <v>14</v>
      </c>
      <c r="AH206" s="30" t="s">
        <v>4</v>
      </c>
      <c r="AI206" s="30"/>
    </row>
    <row r="207" spans="1:35" x14ac:dyDescent="0.3">
      <c r="A207" s="30">
        <v>13</v>
      </c>
      <c r="B207" s="30" t="s">
        <v>569</v>
      </c>
      <c r="C207" s="30" t="s">
        <v>570</v>
      </c>
      <c r="D207" s="31">
        <v>46053</v>
      </c>
      <c r="E207" s="30">
        <v>1056</v>
      </c>
      <c r="F207" s="30">
        <v>0</v>
      </c>
      <c r="G207" s="32">
        <v>21100000</v>
      </c>
      <c r="H207" s="30">
        <v>-1307326291</v>
      </c>
      <c r="I207" s="30" t="s">
        <v>597</v>
      </c>
      <c r="J207" s="30" t="s">
        <v>587</v>
      </c>
      <c r="K207" s="30" t="s">
        <v>588</v>
      </c>
      <c r="L207" s="30" t="s">
        <v>194</v>
      </c>
      <c r="M207" s="30" t="s">
        <v>195</v>
      </c>
      <c r="N207" s="30" t="s">
        <v>167</v>
      </c>
      <c r="O207" s="30">
        <v>21100000</v>
      </c>
      <c r="P207" s="30">
        <v>1</v>
      </c>
      <c r="Q207" s="30" t="s">
        <v>168</v>
      </c>
      <c r="R207" s="30" t="s">
        <v>169</v>
      </c>
      <c r="S207" s="30"/>
      <c r="T207" s="30"/>
      <c r="U207" s="30"/>
      <c r="V207" s="30" t="s">
        <v>172</v>
      </c>
      <c r="W207" s="30" t="s">
        <v>173</v>
      </c>
      <c r="X207" s="30" t="s">
        <v>589</v>
      </c>
      <c r="Y207" s="30" t="s">
        <v>590</v>
      </c>
      <c r="Z207" s="30">
        <v>100</v>
      </c>
      <c r="AA207" s="30" t="s">
        <v>575</v>
      </c>
      <c r="AB207" s="30">
        <v>11</v>
      </c>
      <c r="AC207" s="30" t="s">
        <v>177</v>
      </c>
      <c r="AD207" s="30" t="s">
        <v>178</v>
      </c>
      <c r="AE207" s="30" t="s">
        <v>8</v>
      </c>
      <c r="AF207" s="30" t="s">
        <v>38</v>
      </c>
      <c r="AG207" s="30" t="s">
        <v>14</v>
      </c>
      <c r="AH207" s="30" t="s">
        <v>4</v>
      </c>
      <c r="AI207" s="30"/>
    </row>
    <row r="208" spans="1:35" x14ac:dyDescent="0.3">
      <c r="A208" s="30">
        <v>14</v>
      </c>
      <c r="B208" s="30" t="s">
        <v>569</v>
      </c>
      <c r="C208" s="30" t="s">
        <v>570</v>
      </c>
      <c r="D208" s="31">
        <v>46053</v>
      </c>
      <c r="E208" s="30">
        <v>1056</v>
      </c>
      <c r="F208" s="30">
        <v>0</v>
      </c>
      <c r="G208" s="32">
        <v>320719455</v>
      </c>
      <c r="H208" s="30">
        <v>-986606836</v>
      </c>
      <c r="I208" s="30" t="s">
        <v>598</v>
      </c>
      <c r="J208" s="30" t="s">
        <v>587</v>
      </c>
      <c r="K208" s="30" t="s">
        <v>588</v>
      </c>
      <c r="L208" s="30" t="s">
        <v>194</v>
      </c>
      <c r="M208" s="30" t="s">
        <v>195</v>
      </c>
      <c r="N208" s="30" t="s">
        <v>167</v>
      </c>
      <c r="O208" s="30">
        <v>320719455</v>
      </c>
      <c r="P208" s="30">
        <v>1</v>
      </c>
      <c r="Q208" s="30" t="s">
        <v>168</v>
      </c>
      <c r="R208" s="30" t="s">
        <v>169</v>
      </c>
      <c r="S208" s="30"/>
      <c r="T208" s="30"/>
      <c r="U208" s="30"/>
      <c r="V208" s="30" t="s">
        <v>172</v>
      </c>
      <c r="W208" s="30" t="s">
        <v>173</v>
      </c>
      <c r="X208" s="30" t="s">
        <v>589</v>
      </c>
      <c r="Y208" s="30" t="s">
        <v>590</v>
      </c>
      <c r="Z208" s="30">
        <v>101</v>
      </c>
      <c r="AA208" s="30" t="s">
        <v>575</v>
      </c>
      <c r="AB208" s="30">
        <v>11</v>
      </c>
      <c r="AC208" s="30" t="s">
        <v>177</v>
      </c>
      <c r="AD208" s="30" t="s">
        <v>178</v>
      </c>
      <c r="AE208" s="30" t="s">
        <v>8</v>
      </c>
      <c r="AF208" s="30" t="s">
        <v>38</v>
      </c>
      <c r="AG208" s="30" t="s">
        <v>14</v>
      </c>
      <c r="AH208" s="30" t="s">
        <v>4</v>
      </c>
      <c r="AI208" s="30"/>
    </row>
    <row r="209" spans="1:35" x14ac:dyDescent="0.3">
      <c r="A209" s="30">
        <v>15</v>
      </c>
      <c r="B209" s="30" t="s">
        <v>569</v>
      </c>
      <c r="C209" s="30" t="s">
        <v>570</v>
      </c>
      <c r="D209" s="31">
        <v>46053</v>
      </c>
      <c r="E209" s="30">
        <v>1056</v>
      </c>
      <c r="F209" s="30">
        <v>0</v>
      </c>
      <c r="G209" s="32">
        <v>102022364</v>
      </c>
      <c r="H209" s="30">
        <v>-884584472</v>
      </c>
      <c r="I209" s="30" t="s">
        <v>599</v>
      </c>
      <c r="J209" s="30" t="s">
        <v>587</v>
      </c>
      <c r="K209" s="30" t="s">
        <v>588</v>
      </c>
      <c r="L209" s="30" t="s">
        <v>194</v>
      </c>
      <c r="M209" s="30" t="s">
        <v>195</v>
      </c>
      <c r="N209" s="30" t="s">
        <v>167</v>
      </c>
      <c r="O209" s="30">
        <v>102022364</v>
      </c>
      <c r="P209" s="30">
        <v>1</v>
      </c>
      <c r="Q209" s="30" t="s">
        <v>168</v>
      </c>
      <c r="R209" s="30" t="s">
        <v>169</v>
      </c>
      <c r="S209" s="30"/>
      <c r="T209" s="30"/>
      <c r="U209" s="30"/>
      <c r="V209" s="30" t="s">
        <v>172</v>
      </c>
      <c r="W209" s="30" t="s">
        <v>173</v>
      </c>
      <c r="X209" s="30" t="s">
        <v>589</v>
      </c>
      <c r="Y209" s="30" t="s">
        <v>590</v>
      </c>
      <c r="Z209" s="30">
        <v>102</v>
      </c>
      <c r="AA209" s="30" t="s">
        <v>575</v>
      </c>
      <c r="AB209" s="30">
        <v>11</v>
      </c>
      <c r="AC209" s="30" t="s">
        <v>177</v>
      </c>
      <c r="AD209" s="30" t="s">
        <v>178</v>
      </c>
      <c r="AE209" s="30" t="s">
        <v>8</v>
      </c>
      <c r="AF209" s="30" t="s">
        <v>38</v>
      </c>
      <c r="AG209" s="30" t="s">
        <v>14</v>
      </c>
      <c r="AH209" s="30" t="s">
        <v>4</v>
      </c>
      <c r="AI209" s="30"/>
    </row>
    <row r="210" spans="1:35" x14ac:dyDescent="0.3">
      <c r="A210" s="30">
        <v>16</v>
      </c>
      <c r="B210" s="30" t="s">
        <v>569</v>
      </c>
      <c r="C210" s="30" t="s">
        <v>570</v>
      </c>
      <c r="D210" s="31">
        <v>46053</v>
      </c>
      <c r="E210" s="30">
        <v>1056</v>
      </c>
      <c r="F210" s="30">
        <v>0</v>
      </c>
      <c r="G210" s="32">
        <v>6317000</v>
      </c>
      <c r="H210" s="30">
        <v>-878267472</v>
      </c>
      <c r="I210" s="30" t="s">
        <v>600</v>
      </c>
      <c r="J210" s="30" t="s">
        <v>587</v>
      </c>
      <c r="K210" s="30" t="s">
        <v>588</v>
      </c>
      <c r="L210" s="30" t="s">
        <v>194</v>
      </c>
      <c r="M210" s="30" t="s">
        <v>195</v>
      </c>
      <c r="N210" s="30" t="s">
        <v>167</v>
      </c>
      <c r="O210" s="30">
        <v>6317000</v>
      </c>
      <c r="P210" s="30">
        <v>1</v>
      </c>
      <c r="Q210" s="30" t="s">
        <v>168</v>
      </c>
      <c r="R210" s="30" t="s">
        <v>169</v>
      </c>
      <c r="S210" s="30"/>
      <c r="T210" s="30"/>
      <c r="U210" s="30"/>
      <c r="V210" s="30" t="s">
        <v>172</v>
      </c>
      <c r="W210" s="30" t="s">
        <v>173</v>
      </c>
      <c r="X210" s="30" t="s">
        <v>589</v>
      </c>
      <c r="Y210" s="30" t="s">
        <v>590</v>
      </c>
      <c r="Z210" s="30">
        <v>103</v>
      </c>
      <c r="AA210" s="30" t="s">
        <v>575</v>
      </c>
      <c r="AB210" s="30">
        <v>11</v>
      </c>
      <c r="AC210" s="30" t="s">
        <v>177</v>
      </c>
      <c r="AD210" s="30" t="s">
        <v>178</v>
      </c>
      <c r="AE210" s="30" t="s">
        <v>8</v>
      </c>
      <c r="AF210" s="30" t="s">
        <v>38</v>
      </c>
      <c r="AG210" s="30" t="s">
        <v>14</v>
      </c>
      <c r="AH210" s="30" t="s">
        <v>4</v>
      </c>
      <c r="AI210" s="30"/>
    </row>
    <row r="211" spans="1:35" x14ac:dyDescent="0.3">
      <c r="A211" s="30">
        <v>17</v>
      </c>
      <c r="B211" s="30" t="s">
        <v>569</v>
      </c>
      <c r="C211" s="30" t="s">
        <v>570</v>
      </c>
      <c r="D211" s="31">
        <v>46053</v>
      </c>
      <c r="E211" s="30">
        <v>1058</v>
      </c>
      <c r="F211" s="30">
        <v>0</v>
      </c>
      <c r="G211" s="32">
        <v>478182</v>
      </c>
      <c r="H211" s="30">
        <v>-877789290</v>
      </c>
      <c r="I211" s="30" t="s">
        <v>601</v>
      </c>
      <c r="J211" s="30" t="s">
        <v>602</v>
      </c>
      <c r="K211" s="30" t="s">
        <v>603</v>
      </c>
      <c r="L211" s="30" t="s">
        <v>194</v>
      </c>
      <c r="M211" s="30" t="s">
        <v>195</v>
      </c>
      <c r="N211" s="30" t="s">
        <v>167</v>
      </c>
      <c r="O211" s="30">
        <v>478182</v>
      </c>
      <c r="P211" s="30">
        <v>1</v>
      </c>
      <c r="Q211" s="30" t="s">
        <v>168</v>
      </c>
      <c r="R211" s="30" t="s">
        <v>169</v>
      </c>
      <c r="S211" s="30"/>
      <c r="T211" s="30"/>
      <c r="U211" s="30"/>
      <c r="V211" s="30" t="s">
        <v>172</v>
      </c>
      <c r="W211" s="30" t="s">
        <v>173</v>
      </c>
      <c r="X211" s="30" t="s">
        <v>589</v>
      </c>
      <c r="Y211" s="30" t="s">
        <v>604</v>
      </c>
      <c r="Z211" s="30">
        <v>5</v>
      </c>
      <c r="AA211" s="30" t="s">
        <v>197</v>
      </c>
      <c r="AB211" s="30">
        <v>11</v>
      </c>
      <c r="AC211" s="30" t="s">
        <v>177</v>
      </c>
      <c r="AD211" s="30" t="s">
        <v>178</v>
      </c>
      <c r="AE211" s="30" t="s">
        <v>8</v>
      </c>
      <c r="AF211" s="30" t="s">
        <v>28</v>
      </c>
      <c r="AG211" s="30" t="s">
        <v>33</v>
      </c>
      <c r="AH211" s="30" t="s">
        <v>4</v>
      </c>
      <c r="AI211" s="30"/>
    </row>
    <row r="212" spans="1:35" x14ac:dyDescent="0.3">
      <c r="A212" s="30">
        <v>18</v>
      </c>
      <c r="B212" s="30" t="s">
        <v>569</v>
      </c>
      <c r="C212" s="30" t="s">
        <v>570</v>
      </c>
      <c r="D212" s="31">
        <v>46053</v>
      </c>
      <c r="E212" s="30">
        <v>1059</v>
      </c>
      <c r="F212" s="30">
        <v>0</v>
      </c>
      <c r="G212" s="32">
        <v>219536364</v>
      </c>
      <c r="H212" s="30">
        <v>-658252926</v>
      </c>
      <c r="I212" s="30" t="s">
        <v>605</v>
      </c>
      <c r="J212" s="30" t="s">
        <v>606</v>
      </c>
      <c r="K212" s="30" t="s">
        <v>607</v>
      </c>
      <c r="L212" s="30" t="s">
        <v>194</v>
      </c>
      <c r="M212" s="30" t="s">
        <v>195</v>
      </c>
      <c r="N212" s="30" t="s">
        <v>167</v>
      </c>
      <c r="O212" s="30">
        <v>219536364</v>
      </c>
      <c r="P212" s="30">
        <v>1</v>
      </c>
      <c r="Q212" s="30" t="s">
        <v>168</v>
      </c>
      <c r="R212" s="30" t="s">
        <v>169</v>
      </c>
      <c r="S212" s="30"/>
      <c r="T212" s="30"/>
      <c r="U212" s="30"/>
      <c r="V212" s="30" t="s">
        <v>172</v>
      </c>
      <c r="W212" s="30" t="s">
        <v>173</v>
      </c>
      <c r="X212" s="30" t="s">
        <v>589</v>
      </c>
      <c r="Y212" s="30" t="s">
        <v>608</v>
      </c>
      <c r="Z212" s="30">
        <v>9</v>
      </c>
      <c r="AA212" s="30" t="s">
        <v>575</v>
      </c>
      <c r="AB212" s="30">
        <v>11</v>
      </c>
      <c r="AC212" s="30" t="s">
        <v>177</v>
      </c>
      <c r="AD212" s="30" t="s">
        <v>178</v>
      </c>
      <c r="AE212" s="30" t="s">
        <v>8</v>
      </c>
      <c r="AF212" s="30" t="s">
        <v>38</v>
      </c>
      <c r="AG212" s="30" t="s">
        <v>44</v>
      </c>
      <c r="AH212" s="30" t="s">
        <v>4</v>
      </c>
      <c r="AI212" s="30"/>
    </row>
    <row r="213" spans="1:35" x14ac:dyDescent="0.3">
      <c r="A213" s="30">
        <v>19</v>
      </c>
      <c r="B213" s="30" t="s">
        <v>569</v>
      </c>
      <c r="C213" s="30" t="s">
        <v>570</v>
      </c>
      <c r="D213" s="31">
        <v>46053</v>
      </c>
      <c r="E213" s="30">
        <v>1060</v>
      </c>
      <c r="F213" s="30">
        <v>0</v>
      </c>
      <c r="G213" s="32">
        <v>50804546</v>
      </c>
      <c r="H213" s="30">
        <v>-607448380</v>
      </c>
      <c r="I213" s="30" t="s">
        <v>609</v>
      </c>
      <c r="J213" s="30" t="s">
        <v>610</v>
      </c>
      <c r="K213" s="30" t="s">
        <v>611</v>
      </c>
      <c r="L213" s="30" t="s">
        <v>194</v>
      </c>
      <c r="M213" s="30" t="s">
        <v>195</v>
      </c>
      <c r="N213" s="30" t="s">
        <v>167</v>
      </c>
      <c r="O213" s="30">
        <v>50804546</v>
      </c>
      <c r="P213" s="30">
        <v>1</v>
      </c>
      <c r="Q213" s="30" t="s">
        <v>612</v>
      </c>
      <c r="R213" s="30" t="s">
        <v>613</v>
      </c>
      <c r="S213" s="30"/>
      <c r="T213" s="30"/>
      <c r="U213" s="30"/>
      <c r="V213" s="30" t="s">
        <v>172</v>
      </c>
      <c r="W213" s="30" t="s">
        <v>173</v>
      </c>
      <c r="X213" s="30" t="s">
        <v>589</v>
      </c>
      <c r="Y213" s="30" t="s">
        <v>614</v>
      </c>
      <c r="Z213" s="30">
        <v>4</v>
      </c>
      <c r="AA213" s="30" t="s">
        <v>575</v>
      </c>
      <c r="AB213" s="30">
        <v>11</v>
      </c>
      <c r="AC213" s="30" t="s">
        <v>177</v>
      </c>
      <c r="AD213" s="30" t="s">
        <v>178</v>
      </c>
      <c r="AE213" s="30" t="s">
        <v>8</v>
      </c>
      <c r="AF213" s="30" t="s">
        <v>38</v>
      </c>
      <c r="AG213" s="30" t="s">
        <v>43</v>
      </c>
      <c r="AH213" s="30" t="s">
        <v>4</v>
      </c>
      <c r="AI213" s="30"/>
    </row>
    <row r="214" spans="1:35" x14ac:dyDescent="0.3">
      <c r="A214" s="30">
        <v>20</v>
      </c>
      <c r="B214" s="30" t="s">
        <v>569</v>
      </c>
      <c r="C214" s="30" t="s">
        <v>570</v>
      </c>
      <c r="D214" s="31">
        <v>46053</v>
      </c>
      <c r="E214" s="30">
        <v>1060</v>
      </c>
      <c r="F214" s="30">
        <v>0</v>
      </c>
      <c r="G214" s="32">
        <v>82306728</v>
      </c>
      <c r="H214" s="30">
        <v>-525141652</v>
      </c>
      <c r="I214" s="30" t="s">
        <v>615</v>
      </c>
      <c r="J214" s="30" t="s">
        <v>610</v>
      </c>
      <c r="K214" s="30" t="s">
        <v>611</v>
      </c>
      <c r="L214" s="30" t="s">
        <v>194</v>
      </c>
      <c r="M214" s="30" t="s">
        <v>195</v>
      </c>
      <c r="N214" s="30" t="s">
        <v>167</v>
      </c>
      <c r="O214" s="30">
        <v>82306728</v>
      </c>
      <c r="P214" s="30">
        <v>1</v>
      </c>
      <c r="Q214" s="30" t="s">
        <v>616</v>
      </c>
      <c r="R214" s="30" t="s">
        <v>617</v>
      </c>
      <c r="S214" s="30"/>
      <c r="T214" s="30"/>
      <c r="U214" s="30"/>
      <c r="V214" s="30" t="s">
        <v>172</v>
      </c>
      <c r="W214" s="30" t="s">
        <v>173</v>
      </c>
      <c r="X214" s="30" t="s">
        <v>589</v>
      </c>
      <c r="Y214" s="30" t="s">
        <v>614</v>
      </c>
      <c r="Z214" s="30">
        <v>10</v>
      </c>
      <c r="AA214" s="30" t="s">
        <v>575</v>
      </c>
      <c r="AB214" s="30">
        <v>11</v>
      </c>
      <c r="AC214" s="30" t="s">
        <v>177</v>
      </c>
      <c r="AD214" s="30" t="s">
        <v>178</v>
      </c>
      <c r="AE214" s="30" t="s">
        <v>8</v>
      </c>
      <c r="AF214" s="30" t="s">
        <v>38</v>
      </c>
      <c r="AG214" s="30" t="s">
        <v>43</v>
      </c>
      <c r="AH214" s="30" t="s">
        <v>4</v>
      </c>
      <c r="AI214" s="30"/>
    </row>
    <row r="215" spans="1:35" x14ac:dyDescent="0.3">
      <c r="A215" s="30">
        <v>21</v>
      </c>
      <c r="B215" s="30" t="s">
        <v>569</v>
      </c>
      <c r="C215" s="30" t="s">
        <v>570</v>
      </c>
      <c r="D215" s="31">
        <v>46053</v>
      </c>
      <c r="E215" s="30">
        <v>1060</v>
      </c>
      <c r="F215" s="30">
        <v>0</v>
      </c>
      <c r="G215" s="32">
        <v>660355455</v>
      </c>
      <c r="H215" s="30">
        <v>135213803</v>
      </c>
      <c r="I215" s="30" t="s">
        <v>618</v>
      </c>
      <c r="J215" s="30" t="s">
        <v>610</v>
      </c>
      <c r="K215" s="30" t="s">
        <v>611</v>
      </c>
      <c r="L215" s="30" t="s">
        <v>194</v>
      </c>
      <c r="M215" s="30" t="s">
        <v>195</v>
      </c>
      <c r="N215" s="30" t="s">
        <v>167</v>
      </c>
      <c r="O215" s="30">
        <v>660355455</v>
      </c>
      <c r="P215" s="30">
        <v>1</v>
      </c>
      <c r="Q215" s="30" t="s">
        <v>619</v>
      </c>
      <c r="R215" s="30" t="s">
        <v>620</v>
      </c>
      <c r="S215" s="30"/>
      <c r="T215" s="30"/>
      <c r="U215" s="30"/>
      <c r="V215" s="30" t="s">
        <v>172</v>
      </c>
      <c r="W215" s="30" t="s">
        <v>173</v>
      </c>
      <c r="X215" s="30" t="s">
        <v>589</v>
      </c>
      <c r="Y215" s="30" t="s">
        <v>614</v>
      </c>
      <c r="Z215" s="30">
        <v>16</v>
      </c>
      <c r="AA215" s="30" t="s">
        <v>575</v>
      </c>
      <c r="AB215" s="30">
        <v>11</v>
      </c>
      <c r="AC215" s="30" t="s">
        <v>177</v>
      </c>
      <c r="AD215" s="30" t="s">
        <v>178</v>
      </c>
      <c r="AE215" s="30" t="s">
        <v>8</v>
      </c>
      <c r="AF215" s="30" t="s">
        <v>38</v>
      </c>
      <c r="AG215" s="30" t="s">
        <v>43</v>
      </c>
      <c r="AH215" s="30" t="s">
        <v>4</v>
      </c>
      <c r="AI215" s="30"/>
    </row>
    <row r="216" spans="1:35" x14ac:dyDescent="0.3">
      <c r="A216" s="30">
        <v>22</v>
      </c>
      <c r="B216" s="30" t="s">
        <v>569</v>
      </c>
      <c r="C216" s="30" t="s">
        <v>570</v>
      </c>
      <c r="D216" s="31">
        <v>46053</v>
      </c>
      <c r="E216" s="30">
        <v>1060</v>
      </c>
      <c r="F216" s="30">
        <v>0</v>
      </c>
      <c r="G216" s="32">
        <v>481819</v>
      </c>
      <c r="H216" s="30">
        <v>135695622</v>
      </c>
      <c r="I216" s="30" t="s">
        <v>621</v>
      </c>
      <c r="J216" s="30" t="s">
        <v>610</v>
      </c>
      <c r="K216" s="30" t="s">
        <v>611</v>
      </c>
      <c r="L216" s="30" t="s">
        <v>194</v>
      </c>
      <c r="M216" s="30" t="s">
        <v>195</v>
      </c>
      <c r="N216" s="30" t="s">
        <v>167</v>
      </c>
      <c r="O216" s="30">
        <v>481819</v>
      </c>
      <c r="P216" s="30">
        <v>1</v>
      </c>
      <c r="Q216" s="30" t="s">
        <v>622</v>
      </c>
      <c r="R216" s="30" t="s">
        <v>623</v>
      </c>
      <c r="S216" s="30"/>
      <c r="T216" s="30"/>
      <c r="U216" s="30"/>
      <c r="V216" s="30" t="s">
        <v>172</v>
      </c>
      <c r="W216" s="30" t="s">
        <v>173</v>
      </c>
      <c r="X216" s="30" t="s">
        <v>589</v>
      </c>
      <c r="Y216" s="30" t="s">
        <v>614</v>
      </c>
      <c r="Z216" s="30">
        <v>22</v>
      </c>
      <c r="AA216" s="30" t="s">
        <v>575</v>
      </c>
      <c r="AB216" s="30">
        <v>11</v>
      </c>
      <c r="AC216" s="30" t="s">
        <v>177</v>
      </c>
      <c r="AD216" s="30" t="s">
        <v>178</v>
      </c>
      <c r="AE216" s="30" t="s">
        <v>8</v>
      </c>
      <c r="AF216" s="30" t="s">
        <v>38</v>
      </c>
      <c r="AG216" s="30" t="s">
        <v>43</v>
      </c>
      <c r="AH216" s="30" t="s">
        <v>4</v>
      </c>
      <c r="AI216" s="30"/>
    </row>
    <row r="217" spans="1:35" x14ac:dyDescent="0.3">
      <c r="A217" s="30">
        <v>23</v>
      </c>
      <c r="B217" s="30" t="s">
        <v>569</v>
      </c>
      <c r="C217" s="30" t="s">
        <v>570</v>
      </c>
      <c r="D217" s="31">
        <v>46053</v>
      </c>
      <c r="E217" s="30">
        <v>1061</v>
      </c>
      <c r="F217" s="30">
        <v>0</v>
      </c>
      <c r="G217" s="32">
        <v>555387</v>
      </c>
      <c r="H217" s="30">
        <v>136251009</v>
      </c>
      <c r="I217" s="30" t="s">
        <v>624</v>
      </c>
      <c r="J217" s="30" t="s">
        <v>625</v>
      </c>
      <c r="K217" s="30" t="s">
        <v>626</v>
      </c>
      <c r="L217" s="30" t="s">
        <v>194</v>
      </c>
      <c r="M217" s="30" t="s">
        <v>195</v>
      </c>
      <c r="N217" s="30" t="s">
        <v>397</v>
      </c>
      <c r="O217" s="30">
        <v>381.31</v>
      </c>
      <c r="P217" s="30">
        <v>1456.51</v>
      </c>
      <c r="Q217" s="30" t="s">
        <v>168</v>
      </c>
      <c r="R217" s="30" t="s">
        <v>169</v>
      </c>
      <c r="S217" s="30"/>
      <c r="T217" s="30"/>
      <c r="U217" s="30"/>
      <c r="V217" s="30" t="s">
        <v>172</v>
      </c>
      <c r="W217" s="30" t="s">
        <v>173</v>
      </c>
      <c r="X217" s="30" t="s">
        <v>589</v>
      </c>
      <c r="Y217" s="30" t="s">
        <v>627</v>
      </c>
      <c r="Z217" s="30">
        <v>2</v>
      </c>
      <c r="AA217" s="30" t="s">
        <v>197</v>
      </c>
      <c r="AB217" s="30">
        <v>11</v>
      </c>
      <c r="AC217" s="30" t="s">
        <v>177</v>
      </c>
      <c r="AD217" s="30" t="s">
        <v>178</v>
      </c>
      <c r="AE217" s="30" t="s">
        <v>8</v>
      </c>
      <c r="AF217" s="30" t="s">
        <v>38</v>
      </c>
      <c r="AG217" s="30" t="s">
        <v>39</v>
      </c>
      <c r="AH217" s="30" t="s">
        <v>4</v>
      </c>
      <c r="AI217" s="30"/>
    </row>
    <row r="218" spans="1:35" x14ac:dyDescent="0.3">
      <c r="A218" s="30">
        <v>24</v>
      </c>
      <c r="B218" s="30" t="s">
        <v>569</v>
      </c>
      <c r="C218" s="30" t="s">
        <v>570</v>
      </c>
      <c r="D218" s="31">
        <v>46053</v>
      </c>
      <c r="E218" s="30">
        <v>1061</v>
      </c>
      <c r="F218" s="30">
        <v>0</v>
      </c>
      <c r="G218" s="32">
        <v>27040</v>
      </c>
      <c r="H218" s="30">
        <v>136278049</v>
      </c>
      <c r="I218" s="30" t="s">
        <v>628</v>
      </c>
      <c r="J218" s="30" t="s">
        <v>625</v>
      </c>
      <c r="K218" s="30" t="s">
        <v>626</v>
      </c>
      <c r="L218" s="30" t="s">
        <v>194</v>
      </c>
      <c r="M218" s="30" t="s">
        <v>195</v>
      </c>
      <c r="N218" s="30" t="s">
        <v>397</v>
      </c>
      <c r="O218" s="30">
        <v>18.57</v>
      </c>
      <c r="P218" s="30">
        <v>1456.51</v>
      </c>
      <c r="Q218" s="30" t="s">
        <v>168</v>
      </c>
      <c r="R218" s="30" t="s">
        <v>169</v>
      </c>
      <c r="S218" s="30"/>
      <c r="T218" s="30"/>
      <c r="U218" s="30"/>
      <c r="V218" s="30" t="s">
        <v>172</v>
      </c>
      <c r="W218" s="30" t="s">
        <v>173</v>
      </c>
      <c r="X218" s="30" t="s">
        <v>589</v>
      </c>
      <c r="Y218" s="30" t="s">
        <v>627</v>
      </c>
      <c r="Z218" s="30">
        <v>3</v>
      </c>
      <c r="AA218" s="30" t="s">
        <v>197</v>
      </c>
      <c r="AB218" s="30">
        <v>11</v>
      </c>
      <c r="AC218" s="30" t="s">
        <v>177</v>
      </c>
      <c r="AD218" s="30" t="s">
        <v>178</v>
      </c>
      <c r="AE218" s="30" t="s">
        <v>8</v>
      </c>
      <c r="AF218" s="30" t="s">
        <v>38</v>
      </c>
      <c r="AG218" s="30" t="s">
        <v>39</v>
      </c>
      <c r="AH218" s="30" t="s">
        <v>4</v>
      </c>
      <c r="AI218" s="30"/>
    </row>
    <row r="219" spans="1:35" x14ac:dyDescent="0.3">
      <c r="A219" s="30">
        <v>25</v>
      </c>
      <c r="B219" s="30" t="s">
        <v>569</v>
      </c>
      <c r="C219" s="30" t="s">
        <v>570</v>
      </c>
      <c r="D219" s="31">
        <v>46053</v>
      </c>
      <c r="E219" s="30">
        <v>1100</v>
      </c>
      <c r="F219" s="30">
        <v>0</v>
      </c>
      <c r="G219" s="32">
        <v>369050</v>
      </c>
      <c r="H219" s="30">
        <v>136647099</v>
      </c>
      <c r="I219" s="30" t="s">
        <v>629</v>
      </c>
      <c r="J219" s="30" t="s">
        <v>630</v>
      </c>
      <c r="K219" s="30" t="s">
        <v>631</v>
      </c>
      <c r="L219" s="30" t="s">
        <v>194</v>
      </c>
      <c r="M219" s="30" t="s">
        <v>195</v>
      </c>
      <c r="N219" s="30" t="s">
        <v>397</v>
      </c>
      <c r="O219" s="30">
        <v>253.38</v>
      </c>
      <c r="P219" s="30">
        <v>1456.51</v>
      </c>
      <c r="Q219" s="30" t="s">
        <v>168</v>
      </c>
      <c r="R219" s="30" t="s">
        <v>169</v>
      </c>
      <c r="S219" s="30"/>
      <c r="T219" s="30"/>
      <c r="U219" s="30"/>
      <c r="V219" s="30" t="s">
        <v>172</v>
      </c>
      <c r="W219" s="30" t="s">
        <v>173</v>
      </c>
      <c r="X219" s="30" t="s">
        <v>589</v>
      </c>
      <c r="Y219" s="30" t="s">
        <v>632</v>
      </c>
      <c r="Z219" s="30">
        <v>2</v>
      </c>
      <c r="AA219" s="30" t="s">
        <v>197</v>
      </c>
      <c r="AB219" s="30">
        <v>11</v>
      </c>
      <c r="AC219" s="30" t="s">
        <v>177</v>
      </c>
      <c r="AD219" s="30" t="s">
        <v>178</v>
      </c>
      <c r="AE219" s="30" t="s">
        <v>8</v>
      </c>
      <c r="AF219" s="30" t="s">
        <v>38</v>
      </c>
      <c r="AG219" s="30" t="s">
        <v>40</v>
      </c>
      <c r="AH219" s="30" t="s">
        <v>4</v>
      </c>
      <c r="AI219" s="30" t="s">
        <v>41</v>
      </c>
    </row>
    <row r="220" spans="1:35" x14ac:dyDescent="0.3">
      <c r="A220" s="30">
        <v>26</v>
      </c>
      <c r="B220" s="30" t="s">
        <v>569</v>
      </c>
      <c r="C220" s="30" t="s">
        <v>570</v>
      </c>
      <c r="D220" s="31">
        <v>46053</v>
      </c>
      <c r="E220" s="30">
        <v>1099</v>
      </c>
      <c r="F220" s="30">
        <v>0</v>
      </c>
      <c r="G220" s="32">
        <v>19426349</v>
      </c>
      <c r="H220" s="30">
        <v>156073448</v>
      </c>
      <c r="I220" s="30" t="s">
        <v>633</v>
      </c>
      <c r="J220" s="30" t="s">
        <v>630</v>
      </c>
      <c r="K220" s="30" t="s">
        <v>631</v>
      </c>
      <c r="L220" s="30" t="s">
        <v>194</v>
      </c>
      <c r="M220" s="30" t="s">
        <v>195</v>
      </c>
      <c r="N220" s="30" t="s">
        <v>634</v>
      </c>
      <c r="O220" s="30">
        <v>420120</v>
      </c>
      <c r="P220" s="30">
        <v>46.24</v>
      </c>
      <c r="Q220" s="30" t="s">
        <v>168</v>
      </c>
      <c r="R220" s="30" t="s">
        <v>169</v>
      </c>
      <c r="S220" s="30"/>
      <c r="T220" s="30"/>
      <c r="U220" s="30"/>
      <c r="V220" s="30" t="s">
        <v>172</v>
      </c>
      <c r="W220" s="30" t="s">
        <v>173</v>
      </c>
      <c r="X220" s="30" t="s">
        <v>589</v>
      </c>
      <c r="Y220" s="30" t="s">
        <v>635</v>
      </c>
      <c r="Z220" s="30">
        <v>2</v>
      </c>
      <c r="AA220" s="30" t="s">
        <v>197</v>
      </c>
      <c r="AB220" s="30">
        <v>11</v>
      </c>
      <c r="AC220" s="30" t="s">
        <v>177</v>
      </c>
      <c r="AD220" s="30" t="s">
        <v>178</v>
      </c>
      <c r="AE220" s="30" t="s">
        <v>8</v>
      </c>
      <c r="AF220" s="30" t="s">
        <v>38</v>
      </c>
      <c r="AG220" s="30" t="s">
        <v>40</v>
      </c>
      <c r="AH220" s="30" t="s">
        <v>4</v>
      </c>
      <c r="AI220" s="30" t="s">
        <v>41</v>
      </c>
    </row>
    <row r="221" spans="1:35" x14ac:dyDescent="0.3">
      <c r="A221" s="30">
        <v>27</v>
      </c>
      <c r="B221" s="30" t="s">
        <v>569</v>
      </c>
      <c r="C221" s="30" t="s">
        <v>570</v>
      </c>
      <c r="D221" s="31">
        <v>46053</v>
      </c>
      <c r="E221" s="30">
        <v>1101</v>
      </c>
      <c r="F221" s="30">
        <v>0</v>
      </c>
      <c r="G221" s="32">
        <v>18235403</v>
      </c>
      <c r="H221" s="30">
        <v>174308851</v>
      </c>
      <c r="I221" s="30" t="s">
        <v>636</v>
      </c>
      <c r="J221" s="30" t="s">
        <v>637</v>
      </c>
      <c r="K221" s="30" t="s">
        <v>638</v>
      </c>
      <c r="L221" s="30" t="s">
        <v>194</v>
      </c>
      <c r="M221" s="30" t="s">
        <v>195</v>
      </c>
      <c r="N221" s="30" t="s">
        <v>397</v>
      </c>
      <c r="O221" s="30">
        <v>12519.93</v>
      </c>
      <c r="P221" s="30">
        <v>1456.51</v>
      </c>
      <c r="Q221" s="30" t="s">
        <v>639</v>
      </c>
      <c r="R221" s="30" t="s">
        <v>640</v>
      </c>
      <c r="S221" s="30"/>
      <c r="T221" s="30"/>
      <c r="U221" s="30"/>
      <c r="V221" s="30" t="s">
        <v>172</v>
      </c>
      <c r="W221" s="30" t="s">
        <v>173</v>
      </c>
      <c r="X221" s="30" t="s">
        <v>589</v>
      </c>
      <c r="Y221" s="30" t="s">
        <v>641</v>
      </c>
      <c r="Z221" s="30">
        <v>2</v>
      </c>
      <c r="AA221" s="30" t="s">
        <v>197</v>
      </c>
      <c r="AB221" s="30">
        <v>11</v>
      </c>
      <c r="AC221" s="30" t="s">
        <v>177</v>
      </c>
      <c r="AD221" s="30" t="s">
        <v>178</v>
      </c>
      <c r="AE221" s="30" t="s">
        <v>8</v>
      </c>
      <c r="AF221" s="30" t="s">
        <v>28</v>
      </c>
      <c r="AG221" s="30" t="s">
        <v>31</v>
      </c>
      <c r="AH221" s="30" t="s">
        <v>4</v>
      </c>
      <c r="AI221" s="30"/>
    </row>
    <row r="222" spans="1:35" x14ac:dyDescent="0.3">
      <c r="A222" s="30">
        <v>28</v>
      </c>
      <c r="B222" s="30" t="s">
        <v>569</v>
      </c>
      <c r="C222" s="30" t="s">
        <v>570</v>
      </c>
      <c r="D222" s="31">
        <v>46053</v>
      </c>
      <c r="E222" s="30">
        <v>1102</v>
      </c>
      <c r="F222" s="30">
        <v>0</v>
      </c>
      <c r="G222" s="32">
        <v>44</v>
      </c>
      <c r="H222" s="30">
        <v>174308895</v>
      </c>
      <c r="I222" s="30" t="s">
        <v>642</v>
      </c>
      <c r="J222" s="30" t="s">
        <v>643</v>
      </c>
      <c r="K222" s="30" t="s">
        <v>46</v>
      </c>
      <c r="L222" s="30" t="s">
        <v>194</v>
      </c>
      <c r="M222" s="30" t="s">
        <v>195</v>
      </c>
      <c r="N222" s="30" t="s">
        <v>397</v>
      </c>
      <c r="O222" s="30">
        <v>0.03</v>
      </c>
      <c r="P222" s="30">
        <v>1456.51</v>
      </c>
      <c r="Q222" s="30" t="s">
        <v>168</v>
      </c>
      <c r="R222" s="30" t="s">
        <v>169</v>
      </c>
      <c r="S222" s="30"/>
      <c r="T222" s="30"/>
      <c r="U222" s="30"/>
      <c r="V222" s="30" t="s">
        <v>172</v>
      </c>
      <c r="W222" s="30" t="s">
        <v>173</v>
      </c>
      <c r="X222" s="30" t="s">
        <v>589</v>
      </c>
      <c r="Y222" s="30" t="s">
        <v>644</v>
      </c>
      <c r="Z222" s="30">
        <v>2</v>
      </c>
      <c r="AA222" s="30" t="s">
        <v>197</v>
      </c>
      <c r="AB222" s="30">
        <v>11</v>
      </c>
      <c r="AC222" s="30" t="s">
        <v>177</v>
      </c>
      <c r="AD222" s="30" t="s">
        <v>178</v>
      </c>
      <c r="AE222" s="30" t="s">
        <v>8</v>
      </c>
      <c r="AF222" s="30" t="s">
        <v>45</v>
      </c>
      <c r="AG222" s="30" t="s">
        <v>46</v>
      </c>
      <c r="AH222" s="30" t="s">
        <v>4</v>
      </c>
      <c r="AI222" s="30"/>
    </row>
    <row r="223" spans="1:35" x14ac:dyDescent="0.3">
      <c r="A223" s="30">
        <v>29</v>
      </c>
      <c r="B223" s="30" t="s">
        <v>569</v>
      </c>
      <c r="C223" s="30" t="s">
        <v>570</v>
      </c>
      <c r="D223" s="31">
        <v>46053</v>
      </c>
      <c r="E223" s="30">
        <v>1103</v>
      </c>
      <c r="F223" s="30">
        <v>0</v>
      </c>
      <c r="G223" s="32">
        <v>85697519</v>
      </c>
      <c r="H223" s="30">
        <v>260006414</v>
      </c>
      <c r="I223" s="30" t="s">
        <v>645</v>
      </c>
      <c r="J223" s="30" t="s">
        <v>646</v>
      </c>
      <c r="K223" s="30" t="s">
        <v>647</v>
      </c>
      <c r="L223" s="30" t="s">
        <v>194</v>
      </c>
      <c r="M223" s="30" t="s">
        <v>195</v>
      </c>
      <c r="N223" s="30" t="s">
        <v>167</v>
      </c>
      <c r="O223" s="30">
        <v>85697519</v>
      </c>
      <c r="P223" s="30">
        <v>1</v>
      </c>
      <c r="Q223" s="30" t="s">
        <v>168</v>
      </c>
      <c r="R223" s="30" t="s">
        <v>169</v>
      </c>
      <c r="S223" s="30"/>
      <c r="T223" s="30"/>
      <c r="U223" s="30"/>
      <c r="V223" s="30" t="s">
        <v>172</v>
      </c>
      <c r="W223" s="30" t="s">
        <v>173</v>
      </c>
      <c r="X223" s="30" t="s">
        <v>589</v>
      </c>
      <c r="Y223" s="30" t="s">
        <v>648</v>
      </c>
      <c r="Z223" s="30">
        <v>3</v>
      </c>
      <c r="AA223" s="30" t="s">
        <v>575</v>
      </c>
      <c r="AB223" s="30">
        <v>11</v>
      </c>
      <c r="AC223" s="30" t="s">
        <v>177</v>
      </c>
      <c r="AD223" s="30" t="s">
        <v>178</v>
      </c>
      <c r="AE223" s="30" t="s">
        <v>8</v>
      </c>
      <c r="AF223" s="30" t="s">
        <v>45</v>
      </c>
      <c r="AG223" s="30" t="s">
        <v>49</v>
      </c>
      <c r="AH223" s="30" t="s">
        <v>4</v>
      </c>
      <c r="AI223" s="30" t="s">
        <v>50</v>
      </c>
    </row>
    <row r="224" spans="1:35" x14ac:dyDescent="0.3">
      <c r="A224" s="30">
        <v>30</v>
      </c>
      <c r="B224" s="30" t="s">
        <v>569</v>
      </c>
      <c r="C224" s="30" t="s">
        <v>570</v>
      </c>
      <c r="D224" s="31">
        <v>46053</v>
      </c>
      <c r="E224" s="30">
        <v>384</v>
      </c>
      <c r="F224" s="30">
        <v>0</v>
      </c>
      <c r="G224" s="32">
        <v>35347414</v>
      </c>
      <c r="H224" s="30">
        <v>295353828</v>
      </c>
      <c r="I224" s="30" t="s">
        <v>649</v>
      </c>
      <c r="J224" s="30" t="s">
        <v>163</v>
      </c>
      <c r="K224" s="30" t="s">
        <v>164</v>
      </c>
      <c r="L224" s="30" t="s">
        <v>211</v>
      </c>
      <c r="M224" s="30" t="s">
        <v>212</v>
      </c>
      <c r="N224" s="30" t="s">
        <v>167</v>
      </c>
      <c r="O224" s="30">
        <v>35347414</v>
      </c>
      <c r="P224" s="30">
        <v>1</v>
      </c>
      <c r="Q224" s="30" t="s">
        <v>650</v>
      </c>
      <c r="R224" s="30" t="s">
        <v>651</v>
      </c>
      <c r="S224" s="30" t="s">
        <v>170</v>
      </c>
      <c r="T224" s="30" t="s">
        <v>171</v>
      </c>
      <c r="U224" s="30" t="s">
        <v>570</v>
      </c>
      <c r="V224" s="30" t="s">
        <v>172</v>
      </c>
      <c r="W224" s="30" t="s">
        <v>173</v>
      </c>
      <c r="X224" s="30" t="s">
        <v>189</v>
      </c>
      <c r="Y224" s="30" t="s">
        <v>652</v>
      </c>
      <c r="Z224" s="30">
        <v>1</v>
      </c>
      <c r="AA224" s="30" t="s">
        <v>176</v>
      </c>
      <c r="AB224" s="30">
        <v>11</v>
      </c>
      <c r="AC224" s="30" t="s">
        <v>177</v>
      </c>
      <c r="AD224" s="30" t="s">
        <v>178</v>
      </c>
      <c r="AE224" s="30" t="s">
        <v>8</v>
      </c>
      <c r="AF224" s="30" t="s">
        <v>28</v>
      </c>
      <c r="AG224" s="30" t="s">
        <v>37</v>
      </c>
      <c r="AH224" s="30" t="s">
        <v>4</v>
      </c>
      <c r="AI224" s="30"/>
    </row>
    <row r="225" spans="1:35" x14ac:dyDescent="0.3">
      <c r="A225" s="30">
        <v>31</v>
      </c>
      <c r="B225" s="30" t="s">
        <v>569</v>
      </c>
      <c r="C225" s="30" t="s">
        <v>570</v>
      </c>
      <c r="D225" s="31">
        <v>46053</v>
      </c>
      <c r="E225" s="30">
        <v>1088</v>
      </c>
      <c r="F225" s="30">
        <v>0</v>
      </c>
      <c r="G225" s="32">
        <v>354165</v>
      </c>
      <c r="H225" s="30">
        <v>295707993</v>
      </c>
      <c r="I225" s="30" t="s">
        <v>653</v>
      </c>
      <c r="J225" s="30" t="s">
        <v>387</v>
      </c>
      <c r="K225" s="30" t="s">
        <v>388</v>
      </c>
      <c r="L225" s="30" t="s">
        <v>194</v>
      </c>
      <c r="M225" s="30" t="s">
        <v>195</v>
      </c>
      <c r="N225" s="30" t="s">
        <v>397</v>
      </c>
      <c r="O225" s="30">
        <v>243.16</v>
      </c>
      <c r="P225" s="30">
        <v>1456.51</v>
      </c>
      <c r="Q225" s="30" t="s">
        <v>168</v>
      </c>
      <c r="R225" s="30" t="s">
        <v>169</v>
      </c>
      <c r="S225" s="30"/>
      <c r="T225" s="30"/>
      <c r="U225" s="30"/>
      <c r="V225" s="30" t="s">
        <v>172</v>
      </c>
      <c r="W225" s="30" t="s">
        <v>173</v>
      </c>
      <c r="X225" s="30" t="s">
        <v>189</v>
      </c>
      <c r="Y225" s="30" t="s">
        <v>654</v>
      </c>
      <c r="Z225" s="30">
        <v>4</v>
      </c>
      <c r="AA225" s="30" t="s">
        <v>197</v>
      </c>
      <c r="AB225" s="30">
        <v>11</v>
      </c>
      <c r="AC225" s="30" t="s">
        <v>177</v>
      </c>
      <c r="AD225" s="30" t="s">
        <v>178</v>
      </c>
      <c r="AE225" s="30" t="s">
        <v>8</v>
      </c>
      <c r="AF225" s="30" t="s">
        <v>53</v>
      </c>
      <c r="AG225" s="30" t="s">
        <v>53</v>
      </c>
      <c r="AH225" s="30" t="s">
        <v>4</v>
      </c>
      <c r="AI225" s="30" t="s">
        <v>54</v>
      </c>
    </row>
    <row r="226" spans="1:35" x14ac:dyDescent="0.3">
      <c r="A226" s="30">
        <v>32</v>
      </c>
      <c r="B226" s="30" t="s">
        <v>569</v>
      </c>
      <c r="C226" s="30" t="s">
        <v>570</v>
      </c>
      <c r="D226" s="31">
        <v>46053</v>
      </c>
      <c r="E226" s="30">
        <v>1088</v>
      </c>
      <c r="F226" s="30">
        <v>0</v>
      </c>
      <c r="G226" s="32">
        <v>1180560</v>
      </c>
      <c r="H226" s="30">
        <v>296888553</v>
      </c>
      <c r="I226" s="30" t="s">
        <v>655</v>
      </c>
      <c r="J226" s="30" t="s">
        <v>387</v>
      </c>
      <c r="K226" s="30" t="s">
        <v>388</v>
      </c>
      <c r="L226" s="30" t="s">
        <v>194</v>
      </c>
      <c r="M226" s="30" t="s">
        <v>195</v>
      </c>
      <c r="N226" s="30" t="s">
        <v>397</v>
      </c>
      <c r="O226" s="30">
        <v>810.54</v>
      </c>
      <c r="P226" s="30">
        <v>1456.51</v>
      </c>
      <c r="Q226" s="30" t="s">
        <v>168</v>
      </c>
      <c r="R226" s="30" t="s">
        <v>169</v>
      </c>
      <c r="S226" s="30"/>
      <c r="T226" s="30"/>
      <c r="U226" s="30"/>
      <c r="V226" s="30" t="s">
        <v>172</v>
      </c>
      <c r="W226" s="30" t="s">
        <v>173</v>
      </c>
      <c r="X226" s="30" t="s">
        <v>189</v>
      </c>
      <c r="Y226" s="30" t="s">
        <v>654</v>
      </c>
      <c r="Z226" s="30">
        <v>5</v>
      </c>
      <c r="AA226" s="30" t="s">
        <v>197</v>
      </c>
      <c r="AB226" s="30">
        <v>11</v>
      </c>
      <c r="AC226" s="30" t="s">
        <v>177</v>
      </c>
      <c r="AD226" s="30" t="s">
        <v>178</v>
      </c>
      <c r="AE226" s="30" t="s">
        <v>8</v>
      </c>
      <c r="AF226" s="30" t="s">
        <v>53</v>
      </c>
      <c r="AG226" s="30" t="s">
        <v>53</v>
      </c>
      <c r="AH226" s="30" t="s">
        <v>4</v>
      </c>
      <c r="AI226" s="30" t="s">
        <v>54</v>
      </c>
    </row>
    <row r="227" spans="1:35" x14ac:dyDescent="0.3">
      <c r="A227" s="30">
        <v>33</v>
      </c>
      <c r="B227" s="30" t="s">
        <v>569</v>
      </c>
      <c r="C227" s="30" t="s">
        <v>570</v>
      </c>
      <c r="D227" s="31">
        <v>46053</v>
      </c>
      <c r="E227" s="30">
        <v>1129</v>
      </c>
      <c r="F227" s="30">
        <v>0</v>
      </c>
      <c r="G227" s="32">
        <v>61304768</v>
      </c>
      <c r="H227" s="30">
        <v>358193321</v>
      </c>
      <c r="I227" s="30" t="s">
        <v>656</v>
      </c>
      <c r="J227" s="30" t="s">
        <v>657</v>
      </c>
      <c r="K227" s="30" t="s">
        <v>658</v>
      </c>
      <c r="L227" s="30" t="s">
        <v>194</v>
      </c>
      <c r="M227" s="30" t="s">
        <v>195</v>
      </c>
      <c r="N227" s="30" t="s">
        <v>397</v>
      </c>
      <c r="O227" s="30">
        <v>42090.18</v>
      </c>
      <c r="P227" s="30">
        <v>1456.51</v>
      </c>
      <c r="Q227" s="30" t="s">
        <v>168</v>
      </c>
      <c r="R227" s="30" t="s">
        <v>169</v>
      </c>
      <c r="S227" s="30"/>
      <c r="T227" s="30"/>
      <c r="U227" s="30"/>
      <c r="V227" s="30" t="s">
        <v>172</v>
      </c>
      <c r="W227" s="30" t="s">
        <v>173</v>
      </c>
      <c r="X227" s="30" t="s">
        <v>189</v>
      </c>
      <c r="Y227" s="30" t="s">
        <v>659</v>
      </c>
      <c r="Z227" s="30">
        <v>1</v>
      </c>
      <c r="AA227" s="30" t="s">
        <v>197</v>
      </c>
      <c r="AB227" s="30">
        <v>11</v>
      </c>
      <c r="AC227" s="30" t="s">
        <v>177</v>
      </c>
      <c r="AD227" s="30" t="s">
        <v>178</v>
      </c>
      <c r="AE227" s="30" t="s">
        <v>8</v>
      </c>
      <c r="AF227" s="30" t="s">
        <v>28</v>
      </c>
      <c r="AG227" s="30" t="s">
        <v>30</v>
      </c>
      <c r="AH227" s="30" t="s">
        <v>4</v>
      </c>
      <c r="AI227" s="30"/>
    </row>
    <row r="228" spans="1:35" x14ac:dyDescent="0.3">
      <c r="A228" s="30">
        <v>34</v>
      </c>
      <c r="B228" s="30" t="s">
        <v>569</v>
      </c>
      <c r="C228" s="30" t="s">
        <v>570</v>
      </c>
      <c r="D228" s="31">
        <v>46053</v>
      </c>
      <c r="E228" s="30">
        <v>1104</v>
      </c>
      <c r="F228" s="30">
        <v>0</v>
      </c>
      <c r="G228" s="32">
        <v>15729274</v>
      </c>
      <c r="H228" s="30">
        <v>373922595</v>
      </c>
      <c r="I228" s="30" t="s">
        <v>660</v>
      </c>
      <c r="J228" s="30" t="s">
        <v>661</v>
      </c>
      <c r="K228" s="30" t="s">
        <v>662</v>
      </c>
      <c r="L228" s="30" t="s">
        <v>194</v>
      </c>
      <c r="M228" s="30" t="s">
        <v>195</v>
      </c>
      <c r="N228" s="30" t="s">
        <v>397</v>
      </c>
      <c r="O228" s="30">
        <v>10799.29</v>
      </c>
      <c r="P228" s="30">
        <v>1456.51</v>
      </c>
      <c r="Q228" s="30" t="s">
        <v>168</v>
      </c>
      <c r="R228" s="30" t="s">
        <v>169</v>
      </c>
      <c r="S228" s="30"/>
      <c r="T228" s="30"/>
      <c r="U228" s="30"/>
      <c r="V228" s="30" t="s">
        <v>172</v>
      </c>
      <c r="W228" s="30" t="s">
        <v>173</v>
      </c>
      <c r="X228" s="30" t="s">
        <v>589</v>
      </c>
      <c r="Y228" s="30" t="s">
        <v>663</v>
      </c>
      <c r="Z228" s="30">
        <v>2</v>
      </c>
      <c r="AA228" s="30" t="s">
        <v>197</v>
      </c>
      <c r="AB228" s="30">
        <v>11</v>
      </c>
      <c r="AC228" s="30" t="s">
        <v>177</v>
      </c>
      <c r="AD228" s="30" t="s">
        <v>178</v>
      </c>
      <c r="AE228" s="30" t="s">
        <v>8</v>
      </c>
      <c r="AF228" s="30" t="s">
        <v>45</v>
      </c>
      <c r="AG228" s="30" t="s">
        <v>47</v>
      </c>
      <c r="AH228" s="30" t="s">
        <v>4</v>
      </c>
      <c r="AI228" s="30"/>
    </row>
    <row r="229" spans="1:35" x14ac:dyDescent="0.3">
      <c r="A229" s="30">
        <v>35</v>
      </c>
      <c r="B229" s="30" t="s">
        <v>569</v>
      </c>
      <c r="C229" s="30" t="s">
        <v>570</v>
      </c>
      <c r="D229" s="31">
        <v>46053</v>
      </c>
      <c r="E229" s="30">
        <v>1105</v>
      </c>
      <c r="F229" s="30">
        <v>0</v>
      </c>
      <c r="G229" s="32">
        <v>6795</v>
      </c>
      <c r="H229" s="30">
        <v>373929390</v>
      </c>
      <c r="I229" s="30" t="s">
        <v>664</v>
      </c>
      <c r="J229" s="30" t="s">
        <v>665</v>
      </c>
      <c r="K229" s="30" t="s">
        <v>666</v>
      </c>
      <c r="L229" s="30" t="s">
        <v>194</v>
      </c>
      <c r="M229" s="30" t="s">
        <v>195</v>
      </c>
      <c r="N229" s="30" t="s">
        <v>667</v>
      </c>
      <c r="O229" s="30">
        <v>731</v>
      </c>
      <c r="P229" s="30">
        <v>9.2950999999999997</v>
      </c>
      <c r="Q229" s="30" t="s">
        <v>168</v>
      </c>
      <c r="R229" s="30" t="s">
        <v>169</v>
      </c>
      <c r="S229" s="30"/>
      <c r="T229" s="30"/>
      <c r="U229" s="30"/>
      <c r="V229" s="30" t="s">
        <v>172</v>
      </c>
      <c r="W229" s="30" t="s">
        <v>173</v>
      </c>
      <c r="X229" s="30" t="s">
        <v>589</v>
      </c>
      <c r="Y229" s="30" t="s">
        <v>668</v>
      </c>
      <c r="Z229" s="30">
        <v>3</v>
      </c>
      <c r="AA229" s="30" t="s">
        <v>197</v>
      </c>
      <c r="AB229" s="30">
        <v>11</v>
      </c>
      <c r="AC229" s="30" t="s">
        <v>177</v>
      </c>
      <c r="AD229" s="30" t="s">
        <v>178</v>
      </c>
      <c r="AE229" s="30" t="s">
        <v>8</v>
      </c>
      <c r="AF229" s="30" t="s">
        <v>45</v>
      </c>
      <c r="AG229" s="30" t="s">
        <v>48</v>
      </c>
      <c r="AH229" s="30" t="s">
        <v>4</v>
      </c>
      <c r="AI229" s="30"/>
    </row>
    <row r="230" spans="1:35" x14ac:dyDescent="0.3">
      <c r="A230" s="30">
        <v>36</v>
      </c>
      <c r="B230" s="30" t="s">
        <v>569</v>
      </c>
      <c r="C230" s="30" t="s">
        <v>570</v>
      </c>
      <c r="D230" s="31">
        <v>46053</v>
      </c>
      <c r="E230" s="30">
        <v>1111</v>
      </c>
      <c r="F230" s="30">
        <v>0</v>
      </c>
      <c r="G230" s="32">
        <v>848385</v>
      </c>
      <c r="H230" s="30">
        <v>374777775</v>
      </c>
      <c r="I230" s="30" t="s">
        <v>669</v>
      </c>
      <c r="J230" s="30" t="s">
        <v>299</v>
      </c>
      <c r="K230" s="30" t="s">
        <v>300</v>
      </c>
      <c r="L230" s="30" t="s">
        <v>670</v>
      </c>
      <c r="M230" s="30" t="s">
        <v>671</v>
      </c>
      <c r="N230" s="30" t="s">
        <v>167</v>
      </c>
      <c r="O230" s="30">
        <v>848385</v>
      </c>
      <c r="P230" s="30">
        <v>1</v>
      </c>
      <c r="Q230" s="30" t="s">
        <v>168</v>
      </c>
      <c r="R230" s="30" t="s">
        <v>169</v>
      </c>
      <c r="S230" s="30"/>
      <c r="T230" s="30"/>
      <c r="U230" s="30"/>
      <c r="V230" s="30" t="s">
        <v>172</v>
      </c>
      <c r="W230" s="30" t="s">
        <v>173</v>
      </c>
      <c r="X230" s="30" t="s">
        <v>189</v>
      </c>
      <c r="Y230" s="30" t="s">
        <v>672</v>
      </c>
      <c r="Z230" s="30">
        <v>2891</v>
      </c>
      <c r="AA230" s="30" t="s">
        <v>673</v>
      </c>
      <c r="AB230" s="30">
        <v>12</v>
      </c>
      <c r="AC230" s="30" t="s">
        <v>205</v>
      </c>
      <c r="AD230" s="30" t="s">
        <v>178</v>
      </c>
      <c r="AE230" s="30" t="s">
        <v>8</v>
      </c>
      <c r="AF230" s="30" t="s">
        <v>28</v>
      </c>
      <c r="AG230" s="30" t="s">
        <v>32</v>
      </c>
      <c r="AH230" s="30" t="s">
        <v>4</v>
      </c>
      <c r="AI230" s="30"/>
    </row>
    <row r="231" spans="1:35" x14ac:dyDescent="0.3">
      <c r="A231" s="30">
        <v>37</v>
      </c>
      <c r="B231" s="30" t="s">
        <v>569</v>
      </c>
      <c r="C231" s="30" t="s">
        <v>570</v>
      </c>
      <c r="D231" s="31">
        <v>46053</v>
      </c>
      <c r="E231" s="30">
        <v>1132</v>
      </c>
      <c r="F231" s="30">
        <v>0</v>
      </c>
      <c r="G231" s="32">
        <v>5656328537</v>
      </c>
      <c r="H231" s="30">
        <v>6031106312</v>
      </c>
      <c r="I231" s="30" t="s">
        <v>674</v>
      </c>
      <c r="J231" s="30" t="s">
        <v>675</v>
      </c>
      <c r="K231" s="30" t="s">
        <v>676</v>
      </c>
      <c r="L231" s="30" t="s">
        <v>194</v>
      </c>
      <c r="M231" s="30" t="s">
        <v>195</v>
      </c>
      <c r="N231" s="30" t="s">
        <v>167</v>
      </c>
      <c r="O231" s="30">
        <v>5656328537</v>
      </c>
      <c r="P231" s="30">
        <v>1</v>
      </c>
      <c r="Q231" s="30" t="s">
        <v>168</v>
      </c>
      <c r="R231" s="30" t="s">
        <v>169</v>
      </c>
      <c r="S231" s="30"/>
      <c r="T231" s="30"/>
      <c r="U231" s="30"/>
      <c r="V231" s="30" t="s">
        <v>172</v>
      </c>
      <c r="W231" s="30" t="s">
        <v>173</v>
      </c>
      <c r="X231" s="30" t="s">
        <v>228</v>
      </c>
      <c r="Y231" s="30" t="s">
        <v>677</v>
      </c>
      <c r="Z231" s="30">
        <v>5</v>
      </c>
      <c r="AA231" s="30" t="s">
        <v>575</v>
      </c>
      <c r="AB231" s="30">
        <v>11</v>
      </c>
      <c r="AC231" s="30" t="s">
        <v>177</v>
      </c>
      <c r="AD231" s="30" t="s">
        <v>178</v>
      </c>
      <c r="AE231" s="30" t="s">
        <v>8</v>
      </c>
      <c r="AF231" s="30" t="s">
        <v>28</v>
      </c>
      <c r="AG231" s="30" t="s">
        <v>10</v>
      </c>
      <c r="AH231" s="30" t="s">
        <v>4</v>
      </c>
      <c r="AI231" s="30"/>
    </row>
    <row r="232" spans="1:35" x14ac:dyDescent="0.3">
      <c r="A232" s="30">
        <v>38</v>
      </c>
      <c r="B232" s="30" t="s">
        <v>569</v>
      </c>
      <c r="C232" s="30" t="s">
        <v>570</v>
      </c>
      <c r="D232" s="31">
        <v>46053</v>
      </c>
      <c r="E232" s="30">
        <v>1132</v>
      </c>
      <c r="F232" s="30">
        <v>0</v>
      </c>
      <c r="G232" s="32">
        <v>898301655</v>
      </c>
      <c r="H232" s="30">
        <v>6929407967</v>
      </c>
      <c r="I232" s="30" t="s">
        <v>678</v>
      </c>
      <c r="J232" s="30" t="s">
        <v>675</v>
      </c>
      <c r="K232" s="30" t="s">
        <v>676</v>
      </c>
      <c r="L232" s="30" t="s">
        <v>194</v>
      </c>
      <c r="M232" s="30" t="s">
        <v>195</v>
      </c>
      <c r="N232" s="30" t="s">
        <v>167</v>
      </c>
      <c r="O232" s="30">
        <v>898301655</v>
      </c>
      <c r="P232" s="30">
        <v>1</v>
      </c>
      <c r="Q232" s="30" t="s">
        <v>168</v>
      </c>
      <c r="R232" s="30" t="s">
        <v>169</v>
      </c>
      <c r="S232" s="30"/>
      <c r="T232" s="30"/>
      <c r="U232" s="30"/>
      <c r="V232" s="30" t="s">
        <v>172</v>
      </c>
      <c r="W232" s="30" t="s">
        <v>173</v>
      </c>
      <c r="X232" s="30" t="s">
        <v>228</v>
      </c>
      <c r="Y232" s="30" t="s">
        <v>677</v>
      </c>
      <c r="Z232" s="30">
        <v>6</v>
      </c>
      <c r="AA232" s="30" t="s">
        <v>575</v>
      </c>
      <c r="AB232" s="30">
        <v>11</v>
      </c>
      <c r="AC232" s="30" t="s">
        <v>177</v>
      </c>
      <c r="AD232" s="30" t="s">
        <v>178</v>
      </c>
      <c r="AE232" s="30" t="s">
        <v>8</v>
      </c>
      <c r="AF232" s="30" t="s">
        <v>28</v>
      </c>
      <c r="AG232" s="30" t="s">
        <v>10</v>
      </c>
      <c r="AH232" s="30" t="s">
        <v>4</v>
      </c>
      <c r="AI232" s="30"/>
    </row>
    <row r="233" spans="1:35" x14ac:dyDescent="0.3">
      <c r="A233" s="30">
        <v>39</v>
      </c>
      <c r="B233" s="30" t="s">
        <v>569</v>
      </c>
      <c r="C233" s="30" t="s">
        <v>570</v>
      </c>
      <c r="D233" s="31">
        <v>46053</v>
      </c>
      <c r="E233" s="30">
        <v>1132</v>
      </c>
      <c r="F233" s="30">
        <v>0</v>
      </c>
      <c r="G233" s="32">
        <v>6894017373</v>
      </c>
      <c r="H233" s="30">
        <v>13823425340</v>
      </c>
      <c r="I233" s="30" t="s">
        <v>679</v>
      </c>
      <c r="J233" s="30" t="s">
        <v>675</v>
      </c>
      <c r="K233" s="30" t="s">
        <v>676</v>
      </c>
      <c r="L233" s="30" t="s">
        <v>194</v>
      </c>
      <c r="M233" s="30" t="s">
        <v>195</v>
      </c>
      <c r="N233" s="30" t="s">
        <v>167</v>
      </c>
      <c r="O233" s="30">
        <v>6894017373</v>
      </c>
      <c r="P233" s="30">
        <v>1</v>
      </c>
      <c r="Q233" s="30" t="s">
        <v>168</v>
      </c>
      <c r="R233" s="30" t="s">
        <v>169</v>
      </c>
      <c r="S233" s="30"/>
      <c r="T233" s="30"/>
      <c r="U233" s="30"/>
      <c r="V233" s="30" t="s">
        <v>172</v>
      </c>
      <c r="W233" s="30" t="s">
        <v>173</v>
      </c>
      <c r="X233" s="30" t="s">
        <v>228</v>
      </c>
      <c r="Y233" s="30" t="s">
        <v>677</v>
      </c>
      <c r="Z233" s="30">
        <v>7</v>
      </c>
      <c r="AA233" s="30" t="s">
        <v>575</v>
      </c>
      <c r="AB233" s="30">
        <v>11</v>
      </c>
      <c r="AC233" s="30" t="s">
        <v>177</v>
      </c>
      <c r="AD233" s="30" t="s">
        <v>178</v>
      </c>
      <c r="AE233" s="30" t="s">
        <v>8</v>
      </c>
      <c r="AF233" s="30" t="s">
        <v>28</v>
      </c>
      <c r="AG233" s="30" t="s">
        <v>10</v>
      </c>
      <c r="AH233" s="30" t="s">
        <v>4</v>
      </c>
      <c r="AI233" s="30"/>
    </row>
    <row r="234" spans="1:35" x14ac:dyDescent="0.3">
      <c r="A234" s="30">
        <v>40</v>
      </c>
      <c r="B234" s="30" t="s">
        <v>569</v>
      </c>
      <c r="C234" s="30" t="s">
        <v>570</v>
      </c>
      <c r="D234" s="31">
        <v>46053</v>
      </c>
      <c r="E234" s="30">
        <v>1133</v>
      </c>
      <c r="F234" s="30">
        <v>0</v>
      </c>
      <c r="G234" s="32">
        <v>4009990111</v>
      </c>
      <c r="H234" s="30">
        <v>17833415451</v>
      </c>
      <c r="I234" s="30" t="s">
        <v>680</v>
      </c>
      <c r="J234" s="30" t="s">
        <v>572</v>
      </c>
      <c r="K234" s="30" t="s">
        <v>573</v>
      </c>
      <c r="L234" s="30" t="s">
        <v>194</v>
      </c>
      <c r="M234" s="30" t="s">
        <v>195</v>
      </c>
      <c r="N234" s="30" t="s">
        <v>397</v>
      </c>
      <c r="O234" s="30">
        <v>2753149.73</v>
      </c>
      <c r="P234" s="30">
        <v>1456.51</v>
      </c>
      <c r="Q234" s="30" t="s">
        <v>168</v>
      </c>
      <c r="R234" s="30" t="s">
        <v>169</v>
      </c>
      <c r="S234" s="30"/>
      <c r="T234" s="30"/>
      <c r="U234" s="30"/>
      <c r="V234" s="30" t="s">
        <v>172</v>
      </c>
      <c r="W234" s="30" t="s">
        <v>173</v>
      </c>
      <c r="X234" s="30" t="s">
        <v>228</v>
      </c>
      <c r="Y234" s="30" t="s">
        <v>681</v>
      </c>
      <c r="Z234" s="30">
        <v>7</v>
      </c>
      <c r="AA234" s="30" t="s">
        <v>575</v>
      </c>
      <c r="AB234" s="30">
        <v>11</v>
      </c>
      <c r="AC234" s="30" t="s">
        <v>177</v>
      </c>
      <c r="AD234" s="30" t="s">
        <v>178</v>
      </c>
      <c r="AE234" s="30" t="s">
        <v>8</v>
      </c>
      <c r="AF234" s="30" t="s">
        <v>28</v>
      </c>
      <c r="AG234" s="30" t="s">
        <v>9</v>
      </c>
      <c r="AH234" s="30" t="s">
        <v>4</v>
      </c>
      <c r="AI234" s="30"/>
    </row>
    <row r="235" spans="1:35" x14ac:dyDescent="0.3">
      <c r="A235" s="30">
        <v>41</v>
      </c>
      <c r="B235" s="30" t="s">
        <v>569</v>
      </c>
      <c r="C235" s="30" t="s">
        <v>570</v>
      </c>
      <c r="D235" s="31">
        <v>46053</v>
      </c>
      <c r="E235" s="30">
        <v>1133</v>
      </c>
      <c r="F235" s="30">
        <v>0</v>
      </c>
      <c r="G235" s="32">
        <v>2444656135</v>
      </c>
      <c r="H235" s="30">
        <v>20278071586</v>
      </c>
      <c r="I235" s="30" t="s">
        <v>682</v>
      </c>
      <c r="J235" s="30" t="s">
        <v>572</v>
      </c>
      <c r="K235" s="30" t="s">
        <v>573</v>
      </c>
      <c r="L235" s="30" t="s">
        <v>194</v>
      </c>
      <c r="M235" s="30" t="s">
        <v>195</v>
      </c>
      <c r="N235" s="30" t="s">
        <v>397</v>
      </c>
      <c r="O235" s="30">
        <v>1678434.16</v>
      </c>
      <c r="P235" s="30">
        <v>1456.51</v>
      </c>
      <c r="Q235" s="30" t="s">
        <v>168</v>
      </c>
      <c r="R235" s="30" t="s">
        <v>169</v>
      </c>
      <c r="S235" s="30"/>
      <c r="T235" s="30"/>
      <c r="U235" s="30"/>
      <c r="V235" s="30" t="s">
        <v>172</v>
      </c>
      <c r="W235" s="30" t="s">
        <v>173</v>
      </c>
      <c r="X235" s="30" t="s">
        <v>228</v>
      </c>
      <c r="Y235" s="30" t="s">
        <v>681</v>
      </c>
      <c r="Z235" s="30">
        <v>8</v>
      </c>
      <c r="AA235" s="30" t="s">
        <v>575</v>
      </c>
      <c r="AB235" s="30">
        <v>11</v>
      </c>
      <c r="AC235" s="30" t="s">
        <v>177</v>
      </c>
      <c r="AD235" s="30" t="s">
        <v>178</v>
      </c>
      <c r="AE235" s="30" t="s">
        <v>8</v>
      </c>
      <c r="AF235" s="30" t="s">
        <v>28</v>
      </c>
      <c r="AG235" s="30" t="s">
        <v>9</v>
      </c>
      <c r="AH235" s="30" t="s">
        <v>4</v>
      </c>
      <c r="AI235" s="30"/>
    </row>
    <row r="236" spans="1:35" x14ac:dyDescent="0.3">
      <c r="A236" s="30">
        <v>42</v>
      </c>
      <c r="B236" s="30" t="s">
        <v>569</v>
      </c>
      <c r="C236" s="30" t="s">
        <v>570</v>
      </c>
      <c r="D236" s="31">
        <v>46053</v>
      </c>
      <c r="E236" s="30">
        <v>1133</v>
      </c>
      <c r="F236" s="30">
        <v>0</v>
      </c>
      <c r="G236" s="32">
        <v>12919531740</v>
      </c>
      <c r="H236" s="30">
        <v>33197603326</v>
      </c>
      <c r="I236" s="30" t="s">
        <v>683</v>
      </c>
      <c r="J236" s="30" t="s">
        <v>572</v>
      </c>
      <c r="K236" s="30" t="s">
        <v>573</v>
      </c>
      <c r="L236" s="30" t="s">
        <v>194</v>
      </c>
      <c r="M236" s="30" t="s">
        <v>195</v>
      </c>
      <c r="N236" s="30" t="s">
        <v>397</v>
      </c>
      <c r="O236" s="30">
        <v>8870197.7599999998</v>
      </c>
      <c r="P236" s="30">
        <v>1456.51</v>
      </c>
      <c r="Q236" s="30" t="s">
        <v>168</v>
      </c>
      <c r="R236" s="30" t="s">
        <v>169</v>
      </c>
      <c r="S236" s="30"/>
      <c r="T236" s="30"/>
      <c r="U236" s="30"/>
      <c r="V236" s="30" t="s">
        <v>172</v>
      </c>
      <c r="W236" s="30" t="s">
        <v>173</v>
      </c>
      <c r="X236" s="30" t="s">
        <v>228</v>
      </c>
      <c r="Y236" s="30" t="s">
        <v>681</v>
      </c>
      <c r="Z236" s="30">
        <v>9</v>
      </c>
      <c r="AA236" s="30" t="s">
        <v>575</v>
      </c>
      <c r="AB236" s="30">
        <v>11</v>
      </c>
      <c r="AC236" s="30" t="s">
        <v>177</v>
      </c>
      <c r="AD236" s="30" t="s">
        <v>178</v>
      </c>
      <c r="AE236" s="30" t="s">
        <v>8</v>
      </c>
      <c r="AF236" s="30" t="s">
        <v>28</v>
      </c>
      <c r="AG236" s="30" t="s">
        <v>9</v>
      </c>
      <c r="AH236" s="30" t="s">
        <v>4</v>
      </c>
      <c r="AI236" s="30"/>
    </row>
    <row r="237" spans="1:35" x14ac:dyDescent="0.3">
      <c r="A237" s="30">
        <v>43</v>
      </c>
      <c r="B237" s="30" t="s">
        <v>569</v>
      </c>
      <c r="C237" s="30" t="s">
        <v>570</v>
      </c>
      <c r="D237" s="31">
        <v>46053</v>
      </c>
      <c r="E237" s="30">
        <v>1134</v>
      </c>
      <c r="F237" s="30">
        <v>0</v>
      </c>
      <c r="G237" s="32">
        <v>1414892374</v>
      </c>
      <c r="H237" s="30">
        <v>34612495700</v>
      </c>
      <c r="I237" s="30" t="s">
        <v>684</v>
      </c>
      <c r="J237" s="30" t="s">
        <v>685</v>
      </c>
      <c r="K237" s="30" t="s">
        <v>686</v>
      </c>
      <c r="L237" s="30" t="s">
        <v>194</v>
      </c>
      <c r="M237" s="30" t="s">
        <v>195</v>
      </c>
      <c r="N237" s="30" t="s">
        <v>397</v>
      </c>
      <c r="O237" s="30">
        <v>971426.47</v>
      </c>
      <c r="P237" s="30">
        <v>1456.51</v>
      </c>
      <c r="Q237" s="30" t="s">
        <v>168</v>
      </c>
      <c r="R237" s="30" t="s">
        <v>169</v>
      </c>
      <c r="S237" s="30"/>
      <c r="T237" s="30"/>
      <c r="U237" s="30"/>
      <c r="V237" s="30" t="s">
        <v>172</v>
      </c>
      <c r="W237" s="30" t="s">
        <v>173</v>
      </c>
      <c r="X237" s="30" t="s">
        <v>228</v>
      </c>
      <c r="Y237" s="30" t="s">
        <v>687</v>
      </c>
      <c r="Z237" s="30">
        <v>3</v>
      </c>
      <c r="AA237" s="30" t="s">
        <v>575</v>
      </c>
      <c r="AB237" s="30">
        <v>11</v>
      </c>
      <c r="AC237" s="30" t="s">
        <v>177</v>
      </c>
      <c r="AD237" s="30" t="s">
        <v>178</v>
      </c>
      <c r="AE237" s="30" t="s">
        <v>8</v>
      </c>
      <c r="AF237" s="30" t="s">
        <v>38</v>
      </c>
      <c r="AG237" s="30" t="s">
        <v>12</v>
      </c>
      <c r="AH237" s="30" t="s">
        <v>4</v>
      </c>
      <c r="AI237" s="30"/>
    </row>
    <row r="238" spans="1:35" x14ac:dyDescent="0.3">
      <c r="A238" s="30">
        <v>44</v>
      </c>
      <c r="B238" s="30" t="s">
        <v>569</v>
      </c>
      <c r="C238" s="30" t="s">
        <v>570</v>
      </c>
      <c r="D238" s="31">
        <v>46053</v>
      </c>
      <c r="E238" s="30">
        <v>1135</v>
      </c>
      <c r="F238" s="30">
        <v>0</v>
      </c>
      <c r="G238" s="32">
        <v>973263687</v>
      </c>
      <c r="H238" s="30">
        <v>35585759387</v>
      </c>
      <c r="I238" s="30" t="s">
        <v>688</v>
      </c>
      <c r="J238" s="30" t="s">
        <v>689</v>
      </c>
      <c r="K238" s="30" t="s">
        <v>690</v>
      </c>
      <c r="L238" s="30" t="s">
        <v>194</v>
      </c>
      <c r="M238" s="30" t="s">
        <v>195</v>
      </c>
      <c r="N238" s="30" t="s">
        <v>397</v>
      </c>
      <c r="O238" s="30">
        <v>668216.27</v>
      </c>
      <c r="P238" s="30">
        <v>1456.51</v>
      </c>
      <c r="Q238" s="30" t="s">
        <v>168</v>
      </c>
      <c r="R238" s="30" t="s">
        <v>169</v>
      </c>
      <c r="S238" s="30"/>
      <c r="T238" s="30"/>
      <c r="U238" s="30"/>
      <c r="V238" s="30" t="s">
        <v>172</v>
      </c>
      <c r="W238" s="30" t="s">
        <v>173</v>
      </c>
      <c r="X238" s="30" t="s">
        <v>228</v>
      </c>
      <c r="Y238" s="30" t="s">
        <v>691</v>
      </c>
      <c r="Z238" s="30">
        <v>3</v>
      </c>
      <c r="AA238" s="30" t="s">
        <v>575</v>
      </c>
      <c r="AB238" s="30">
        <v>11</v>
      </c>
      <c r="AC238" s="30" t="s">
        <v>177</v>
      </c>
      <c r="AD238" s="30" t="s">
        <v>178</v>
      </c>
      <c r="AE238" s="30" t="s">
        <v>8</v>
      </c>
      <c r="AF238" s="30" t="s">
        <v>28</v>
      </c>
      <c r="AG238" s="30" t="s">
        <v>13</v>
      </c>
      <c r="AH238" s="30" t="s">
        <v>4</v>
      </c>
      <c r="AI238" s="30"/>
    </row>
    <row r="239" spans="1:35" x14ac:dyDescent="0.3">
      <c r="A239" s="30">
        <v>45</v>
      </c>
      <c r="B239" s="30" t="s">
        <v>569</v>
      </c>
      <c r="C239" s="30" t="s">
        <v>570</v>
      </c>
      <c r="D239" s="31">
        <v>46053</v>
      </c>
      <c r="E239" s="30">
        <v>1136</v>
      </c>
      <c r="F239" s="30">
        <v>0</v>
      </c>
      <c r="G239" s="32">
        <v>1421760145</v>
      </c>
      <c r="H239" s="30">
        <v>37007519532</v>
      </c>
      <c r="I239" s="30" t="s">
        <v>692</v>
      </c>
      <c r="J239" s="30" t="s">
        <v>693</v>
      </c>
      <c r="K239" s="30" t="s">
        <v>694</v>
      </c>
      <c r="L239" s="30" t="s">
        <v>194</v>
      </c>
      <c r="M239" s="30" t="s">
        <v>195</v>
      </c>
      <c r="N239" s="30" t="s">
        <v>167</v>
      </c>
      <c r="O239" s="30">
        <v>1421760145</v>
      </c>
      <c r="P239" s="30">
        <v>1</v>
      </c>
      <c r="Q239" s="30" t="s">
        <v>168</v>
      </c>
      <c r="R239" s="30" t="s">
        <v>169</v>
      </c>
      <c r="S239" s="30"/>
      <c r="T239" s="30"/>
      <c r="U239" s="30"/>
      <c r="V239" s="30" t="s">
        <v>172</v>
      </c>
      <c r="W239" s="30" t="s">
        <v>173</v>
      </c>
      <c r="X239" s="30" t="s">
        <v>228</v>
      </c>
      <c r="Y239" s="30" t="s">
        <v>695</v>
      </c>
      <c r="Z239" s="30">
        <v>7</v>
      </c>
      <c r="AA239" s="30" t="s">
        <v>575</v>
      </c>
      <c r="AB239" s="30">
        <v>11</v>
      </c>
      <c r="AC239" s="30" t="s">
        <v>177</v>
      </c>
      <c r="AD239" s="30" t="s">
        <v>178</v>
      </c>
      <c r="AE239" s="30" t="s">
        <v>8</v>
      </c>
      <c r="AF239" s="30" t="s">
        <v>28</v>
      </c>
      <c r="AG239" s="30" t="s">
        <v>11</v>
      </c>
      <c r="AH239" s="30" t="s">
        <v>4</v>
      </c>
      <c r="AI239" s="30" t="s">
        <v>34</v>
      </c>
    </row>
    <row r="240" spans="1:35" x14ac:dyDescent="0.3">
      <c r="A240" s="30">
        <v>46</v>
      </c>
      <c r="B240" s="30" t="s">
        <v>569</v>
      </c>
      <c r="C240" s="30" t="s">
        <v>570</v>
      </c>
      <c r="D240" s="31">
        <v>46053</v>
      </c>
      <c r="E240" s="30">
        <v>1136</v>
      </c>
      <c r="F240" s="30">
        <v>0</v>
      </c>
      <c r="G240" s="32">
        <v>867607605</v>
      </c>
      <c r="H240" s="30">
        <v>37875127137</v>
      </c>
      <c r="I240" s="30" t="s">
        <v>696</v>
      </c>
      <c r="J240" s="30" t="s">
        <v>697</v>
      </c>
      <c r="K240" s="30" t="s">
        <v>698</v>
      </c>
      <c r="L240" s="30" t="s">
        <v>194</v>
      </c>
      <c r="M240" s="30" t="s">
        <v>195</v>
      </c>
      <c r="N240" s="30" t="s">
        <v>167</v>
      </c>
      <c r="O240" s="30">
        <v>867607605</v>
      </c>
      <c r="P240" s="30">
        <v>1</v>
      </c>
      <c r="Q240" s="30" t="s">
        <v>168</v>
      </c>
      <c r="R240" s="30" t="s">
        <v>169</v>
      </c>
      <c r="S240" s="30"/>
      <c r="T240" s="30"/>
      <c r="U240" s="30"/>
      <c r="V240" s="30" t="s">
        <v>172</v>
      </c>
      <c r="W240" s="30" t="s">
        <v>173</v>
      </c>
      <c r="X240" s="30" t="s">
        <v>228</v>
      </c>
      <c r="Y240" s="30" t="s">
        <v>695</v>
      </c>
      <c r="Z240" s="30">
        <v>8</v>
      </c>
      <c r="AA240" s="30" t="s">
        <v>575</v>
      </c>
      <c r="AB240" s="30">
        <v>11</v>
      </c>
      <c r="AC240" s="30" t="s">
        <v>177</v>
      </c>
      <c r="AD240" s="30" t="s">
        <v>178</v>
      </c>
      <c r="AE240" s="30" t="s">
        <v>8</v>
      </c>
      <c r="AF240" s="30" t="s">
        <v>28</v>
      </c>
      <c r="AG240" s="30" t="s">
        <v>11</v>
      </c>
      <c r="AH240" s="30" t="s">
        <v>4</v>
      </c>
      <c r="AI240" s="30" t="s">
        <v>34</v>
      </c>
    </row>
    <row r="241" spans="1:35" x14ac:dyDescent="0.3">
      <c r="A241" s="30">
        <v>47</v>
      </c>
      <c r="B241" s="30" t="s">
        <v>569</v>
      </c>
      <c r="C241" s="30" t="s">
        <v>570</v>
      </c>
      <c r="D241" s="31">
        <v>46053</v>
      </c>
      <c r="E241" s="30">
        <v>1136</v>
      </c>
      <c r="F241" s="30">
        <v>0</v>
      </c>
      <c r="G241" s="32">
        <v>2142313010</v>
      </c>
      <c r="H241" s="30">
        <v>40017440147</v>
      </c>
      <c r="I241" s="30" t="s">
        <v>699</v>
      </c>
      <c r="J241" s="30" t="s">
        <v>700</v>
      </c>
      <c r="K241" s="30" t="s">
        <v>701</v>
      </c>
      <c r="L241" s="30" t="s">
        <v>194</v>
      </c>
      <c r="M241" s="30" t="s">
        <v>195</v>
      </c>
      <c r="N241" s="30" t="s">
        <v>167</v>
      </c>
      <c r="O241" s="30">
        <v>2142313010</v>
      </c>
      <c r="P241" s="30">
        <v>1</v>
      </c>
      <c r="Q241" s="30" t="s">
        <v>168</v>
      </c>
      <c r="R241" s="30" t="s">
        <v>169</v>
      </c>
      <c r="S241" s="30"/>
      <c r="T241" s="30"/>
      <c r="U241" s="30"/>
      <c r="V241" s="30" t="s">
        <v>172</v>
      </c>
      <c r="W241" s="30" t="s">
        <v>173</v>
      </c>
      <c r="X241" s="30" t="s">
        <v>228</v>
      </c>
      <c r="Y241" s="30" t="s">
        <v>695</v>
      </c>
      <c r="Z241" s="30">
        <v>9</v>
      </c>
      <c r="AA241" s="30" t="s">
        <v>575</v>
      </c>
      <c r="AB241" s="30">
        <v>11</v>
      </c>
      <c r="AC241" s="30" t="s">
        <v>177</v>
      </c>
      <c r="AD241" s="30" t="s">
        <v>178</v>
      </c>
      <c r="AE241" s="30" t="s">
        <v>8</v>
      </c>
      <c r="AF241" s="30" t="s">
        <v>28</v>
      </c>
      <c r="AG241" s="30" t="s">
        <v>11</v>
      </c>
      <c r="AH241" s="30" t="s">
        <v>4</v>
      </c>
      <c r="AI241" s="30" t="s">
        <v>34</v>
      </c>
    </row>
    <row r="242" spans="1:35" x14ac:dyDescent="0.3">
      <c r="A242" s="30">
        <v>48</v>
      </c>
      <c r="B242" s="30" t="s">
        <v>569</v>
      </c>
      <c r="C242" s="30" t="s">
        <v>570</v>
      </c>
      <c r="D242" s="31">
        <v>46053</v>
      </c>
      <c r="E242" s="30">
        <v>1137</v>
      </c>
      <c r="F242" s="30">
        <v>0</v>
      </c>
      <c r="G242" s="32">
        <v>79542927</v>
      </c>
      <c r="H242" s="30">
        <v>40096983074</v>
      </c>
      <c r="I242" s="30" t="s">
        <v>702</v>
      </c>
      <c r="J242" s="30" t="s">
        <v>703</v>
      </c>
      <c r="K242" s="30" t="s">
        <v>704</v>
      </c>
      <c r="L242" s="30" t="s">
        <v>194</v>
      </c>
      <c r="M242" s="30" t="s">
        <v>195</v>
      </c>
      <c r="N242" s="30" t="s">
        <v>167</v>
      </c>
      <c r="O242" s="30">
        <v>79542927</v>
      </c>
      <c r="P242" s="30">
        <v>1</v>
      </c>
      <c r="Q242" s="30" t="s">
        <v>168</v>
      </c>
      <c r="R242" s="30" t="s">
        <v>169</v>
      </c>
      <c r="S242" s="30"/>
      <c r="T242" s="30"/>
      <c r="U242" s="30"/>
      <c r="V242" s="30" t="s">
        <v>172</v>
      </c>
      <c r="W242" s="30" t="s">
        <v>173</v>
      </c>
      <c r="X242" s="30" t="s">
        <v>228</v>
      </c>
      <c r="Y242" s="30" t="s">
        <v>705</v>
      </c>
      <c r="Z242" s="30">
        <v>5</v>
      </c>
      <c r="AA242" s="30" t="s">
        <v>575</v>
      </c>
      <c r="AB242" s="30">
        <v>11</v>
      </c>
      <c r="AC242" s="30" t="s">
        <v>177</v>
      </c>
      <c r="AD242" s="30" t="s">
        <v>178</v>
      </c>
      <c r="AE242" s="30" t="s">
        <v>8</v>
      </c>
      <c r="AF242" s="30" t="s">
        <v>45</v>
      </c>
      <c r="AG242" s="30" t="s">
        <v>51</v>
      </c>
      <c r="AH242" s="30" t="s">
        <v>4</v>
      </c>
      <c r="AI242" s="30" t="s">
        <v>52</v>
      </c>
    </row>
    <row r="243" spans="1:35" x14ac:dyDescent="0.3">
      <c r="A243" s="30">
        <v>49</v>
      </c>
      <c r="B243" s="30" t="s">
        <v>569</v>
      </c>
      <c r="C243" s="30" t="s">
        <v>570</v>
      </c>
      <c r="D243" s="31">
        <v>46053</v>
      </c>
      <c r="E243" s="30">
        <v>1137</v>
      </c>
      <c r="F243" s="30">
        <v>0</v>
      </c>
      <c r="G243" s="32">
        <v>38150133</v>
      </c>
      <c r="H243" s="30">
        <v>40135133207</v>
      </c>
      <c r="I243" s="30" t="s">
        <v>706</v>
      </c>
      <c r="J243" s="30" t="s">
        <v>703</v>
      </c>
      <c r="K243" s="30" t="s">
        <v>704</v>
      </c>
      <c r="L243" s="30" t="s">
        <v>194</v>
      </c>
      <c r="M243" s="30" t="s">
        <v>195</v>
      </c>
      <c r="N243" s="30" t="s">
        <v>397</v>
      </c>
      <c r="O243" s="30">
        <v>26192.84</v>
      </c>
      <c r="P243" s="30">
        <v>1456.51</v>
      </c>
      <c r="Q243" s="30" t="s">
        <v>168</v>
      </c>
      <c r="R243" s="30" t="s">
        <v>169</v>
      </c>
      <c r="S243" s="30"/>
      <c r="T243" s="30"/>
      <c r="U243" s="30"/>
      <c r="V243" s="30" t="s">
        <v>172</v>
      </c>
      <c r="W243" s="30" t="s">
        <v>173</v>
      </c>
      <c r="X243" s="30" t="s">
        <v>228</v>
      </c>
      <c r="Y243" s="30" t="s">
        <v>705</v>
      </c>
      <c r="Z243" s="30">
        <v>6</v>
      </c>
      <c r="AA243" s="30" t="s">
        <v>575</v>
      </c>
      <c r="AB243" s="30">
        <v>11</v>
      </c>
      <c r="AC243" s="30" t="s">
        <v>177</v>
      </c>
      <c r="AD243" s="30" t="s">
        <v>178</v>
      </c>
      <c r="AE243" s="30" t="s">
        <v>8</v>
      </c>
      <c r="AF243" s="30" t="s">
        <v>45</v>
      </c>
      <c r="AG243" s="30" t="s">
        <v>51</v>
      </c>
      <c r="AH243" s="30" t="s">
        <v>4</v>
      </c>
      <c r="AI243" s="30" t="s">
        <v>52</v>
      </c>
    </row>
    <row r="244" spans="1:35" x14ac:dyDescent="0.3">
      <c r="A244" s="30">
        <v>50</v>
      </c>
      <c r="B244" s="30" t="s">
        <v>569</v>
      </c>
      <c r="C244" s="30" t="s">
        <v>570</v>
      </c>
      <c r="D244" s="31">
        <v>46053</v>
      </c>
      <c r="E244" s="30">
        <v>1159</v>
      </c>
      <c r="F244" s="30">
        <v>0</v>
      </c>
      <c r="G244" s="32">
        <v>5703316</v>
      </c>
      <c r="H244" s="30">
        <v>40140836523</v>
      </c>
      <c r="I244" s="30" t="s">
        <v>707</v>
      </c>
      <c r="J244" s="30" t="s">
        <v>708</v>
      </c>
      <c r="K244" s="30" t="s">
        <v>42</v>
      </c>
      <c r="L244" s="30" t="s">
        <v>670</v>
      </c>
      <c r="M244" s="30" t="s">
        <v>671</v>
      </c>
      <c r="N244" s="30" t="s">
        <v>397</v>
      </c>
      <c r="O244" s="30">
        <v>3915.74</v>
      </c>
      <c r="P244" s="30">
        <v>1456.51</v>
      </c>
      <c r="Q244" s="30" t="s">
        <v>168</v>
      </c>
      <c r="R244" s="30" t="s">
        <v>169</v>
      </c>
      <c r="S244" s="30"/>
      <c r="T244" s="30"/>
      <c r="U244" s="30"/>
      <c r="V244" s="30" t="s">
        <v>172</v>
      </c>
      <c r="W244" s="30" t="s">
        <v>173</v>
      </c>
      <c r="X244" s="30" t="s">
        <v>589</v>
      </c>
      <c r="Y244" s="30" t="s">
        <v>709</v>
      </c>
      <c r="Z244" s="30">
        <v>1</v>
      </c>
      <c r="AA244" s="30" t="s">
        <v>197</v>
      </c>
      <c r="AB244" s="30">
        <v>11</v>
      </c>
      <c r="AC244" s="30" t="s">
        <v>177</v>
      </c>
      <c r="AD244" s="30" t="s">
        <v>178</v>
      </c>
      <c r="AE244" s="30" t="s">
        <v>8</v>
      </c>
      <c r="AF244" s="30" t="s">
        <v>38</v>
      </c>
      <c r="AG244" s="30" t="s">
        <v>42</v>
      </c>
      <c r="AH244" s="30" t="s">
        <v>4</v>
      </c>
      <c r="AI244" s="30"/>
    </row>
    <row r="245" spans="1:35" x14ac:dyDescent="0.3">
      <c r="A245" s="30">
        <v>51</v>
      </c>
      <c r="B245" s="30" t="s">
        <v>569</v>
      </c>
      <c r="C245" s="30" t="s">
        <v>570</v>
      </c>
      <c r="D245" s="31">
        <v>46053</v>
      </c>
      <c r="E245" s="30">
        <v>1159</v>
      </c>
      <c r="F245" s="30">
        <v>0</v>
      </c>
      <c r="G245" s="32">
        <v>3518444</v>
      </c>
      <c r="H245" s="30">
        <v>40144354967</v>
      </c>
      <c r="I245" s="30" t="s">
        <v>710</v>
      </c>
      <c r="J245" s="30" t="s">
        <v>708</v>
      </c>
      <c r="K245" s="30" t="s">
        <v>42</v>
      </c>
      <c r="L245" s="30" t="s">
        <v>194</v>
      </c>
      <c r="M245" s="30" t="s">
        <v>195</v>
      </c>
      <c r="N245" s="30" t="s">
        <v>397</v>
      </c>
      <c r="O245" s="30">
        <v>2415.67</v>
      </c>
      <c r="P245" s="30">
        <v>1456.51</v>
      </c>
      <c r="Q245" s="30" t="s">
        <v>168</v>
      </c>
      <c r="R245" s="30" t="s">
        <v>169</v>
      </c>
      <c r="S245" s="30"/>
      <c r="T245" s="30"/>
      <c r="U245" s="30"/>
      <c r="V245" s="30" t="s">
        <v>172</v>
      </c>
      <c r="W245" s="30" t="s">
        <v>173</v>
      </c>
      <c r="X245" s="30" t="s">
        <v>589</v>
      </c>
      <c r="Y245" s="30" t="s">
        <v>709</v>
      </c>
      <c r="Z245" s="30">
        <v>7</v>
      </c>
      <c r="AA245" s="30" t="s">
        <v>197</v>
      </c>
      <c r="AB245" s="30">
        <v>11</v>
      </c>
      <c r="AC245" s="30" t="s">
        <v>177</v>
      </c>
      <c r="AD245" s="30" t="s">
        <v>178</v>
      </c>
      <c r="AE245" s="30" t="s">
        <v>8</v>
      </c>
      <c r="AF245" s="30" t="s">
        <v>38</v>
      </c>
      <c r="AG245" s="30" t="s">
        <v>42</v>
      </c>
      <c r="AH245" s="30" t="s">
        <v>4</v>
      </c>
      <c r="AI245" s="30"/>
    </row>
    <row r="246" spans="1:35" x14ac:dyDescent="0.3">
      <c r="A246" s="30">
        <v>52</v>
      </c>
      <c r="B246" s="30" t="s">
        <v>569</v>
      </c>
      <c r="C246" s="30" t="s">
        <v>570</v>
      </c>
      <c r="D246" s="31">
        <v>46053</v>
      </c>
      <c r="E246" s="30">
        <v>1159</v>
      </c>
      <c r="F246" s="30">
        <v>0</v>
      </c>
      <c r="G246" s="32">
        <v>149836</v>
      </c>
      <c r="H246" s="30">
        <v>40144504803</v>
      </c>
      <c r="I246" s="30" t="s">
        <v>711</v>
      </c>
      <c r="J246" s="30" t="s">
        <v>708</v>
      </c>
      <c r="K246" s="30" t="s">
        <v>42</v>
      </c>
      <c r="L246" s="30" t="s">
        <v>194</v>
      </c>
      <c r="M246" s="30" t="s">
        <v>195</v>
      </c>
      <c r="N246" s="30" t="s">
        <v>397</v>
      </c>
      <c r="O246" s="30">
        <v>102.87</v>
      </c>
      <c r="P246" s="30">
        <v>1456.51</v>
      </c>
      <c r="Q246" s="30" t="s">
        <v>168</v>
      </c>
      <c r="R246" s="30" t="s">
        <v>169</v>
      </c>
      <c r="S246" s="30"/>
      <c r="T246" s="30"/>
      <c r="U246" s="30"/>
      <c r="V246" s="30" t="s">
        <v>172</v>
      </c>
      <c r="W246" s="30" t="s">
        <v>173</v>
      </c>
      <c r="X246" s="30" t="s">
        <v>589</v>
      </c>
      <c r="Y246" s="30" t="s">
        <v>709</v>
      </c>
      <c r="Z246" s="30">
        <v>13</v>
      </c>
      <c r="AA246" s="30" t="s">
        <v>197</v>
      </c>
      <c r="AB246" s="30">
        <v>11</v>
      </c>
      <c r="AC246" s="30" t="s">
        <v>177</v>
      </c>
      <c r="AD246" s="30" t="s">
        <v>178</v>
      </c>
      <c r="AE246" s="30" t="s">
        <v>8</v>
      </c>
      <c r="AF246" s="30" t="s">
        <v>38</v>
      </c>
      <c r="AG246" s="30" t="s">
        <v>42</v>
      </c>
      <c r="AH246" s="30" t="s">
        <v>4</v>
      </c>
      <c r="AI246" s="30"/>
    </row>
    <row r="247" spans="1:35" x14ac:dyDescent="0.3">
      <c r="A247" s="30">
        <v>53</v>
      </c>
      <c r="B247" s="30" t="s">
        <v>569</v>
      </c>
      <c r="C247" s="30" t="s">
        <v>570</v>
      </c>
      <c r="D247" s="31">
        <v>46053</v>
      </c>
      <c r="E247" s="30">
        <v>1159</v>
      </c>
      <c r="F247" s="30">
        <v>0</v>
      </c>
      <c r="G247" s="32">
        <v>2047426</v>
      </c>
      <c r="H247" s="30">
        <v>40146552229</v>
      </c>
      <c r="I247" s="30" t="s">
        <v>712</v>
      </c>
      <c r="J247" s="30" t="s">
        <v>708</v>
      </c>
      <c r="K247" s="30" t="s">
        <v>42</v>
      </c>
      <c r="L247" s="30" t="s">
        <v>194</v>
      </c>
      <c r="M247" s="30" t="s">
        <v>195</v>
      </c>
      <c r="N247" s="30" t="s">
        <v>397</v>
      </c>
      <c r="O247" s="30">
        <v>1405.71</v>
      </c>
      <c r="P247" s="30">
        <v>1456.51</v>
      </c>
      <c r="Q247" s="30" t="s">
        <v>168</v>
      </c>
      <c r="R247" s="30" t="s">
        <v>169</v>
      </c>
      <c r="S247" s="30"/>
      <c r="T247" s="30"/>
      <c r="U247" s="30"/>
      <c r="V247" s="30" t="s">
        <v>172</v>
      </c>
      <c r="W247" s="30" t="s">
        <v>173</v>
      </c>
      <c r="X247" s="30" t="s">
        <v>589</v>
      </c>
      <c r="Y247" s="30" t="s">
        <v>709</v>
      </c>
      <c r="Z247" s="30">
        <v>16</v>
      </c>
      <c r="AA247" s="30" t="s">
        <v>197</v>
      </c>
      <c r="AB247" s="30">
        <v>11</v>
      </c>
      <c r="AC247" s="30" t="s">
        <v>177</v>
      </c>
      <c r="AD247" s="30" t="s">
        <v>178</v>
      </c>
      <c r="AE247" s="30" t="s">
        <v>8</v>
      </c>
      <c r="AF247" s="30" t="s">
        <v>38</v>
      </c>
      <c r="AG247" s="30" t="s">
        <v>42</v>
      </c>
      <c r="AH247" s="30" t="s">
        <v>4</v>
      </c>
      <c r="AI247" s="30"/>
    </row>
    <row r="248" spans="1:35" x14ac:dyDescent="0.3">
      <c r="A248" s="30">
        <v>54</v>
      </c>
      <c r="B248" s="30" t="s">
        <v>569</v>
      </c>
      <c r="C248" s="30" t="s">
        <v>570</v>
      </c>
      <c r="D248" s="31">
        <v>46053</v>
      </c>
      <c r="E248" s="30">
        <v>1160</v>
      </c>
      <c r="F248" s="30">
        <v>0</v>
      </c>
      <c r="G248" s="32">
        <v>-1185943</v>
      </c>
      <c r="H248" s="30">
        <v>40145366286</v>
      </c>
      <c r="I248" s="30" t="s">
        <v>713</v>
      </c>
      <c r="J248" s="30" t="s">
        <v>708</v>
      </c>
      <c r="K248" s="30" t="s">
        <v>42</v>
      </c>
      <c r="L248" s="30" t="s">
        <v>194</v>
      </c>
      <c r="M248" s="30" t="s">
        <v>195</v>
      </c>
      <c r="N248" s="30" t="s">
        <v>397</v>
      </c>
      <c r="O248" s="30">
        <v>-813.53</v>
      </c>
      <c r="P248" s="30">
        <v>1457.77</v>
      </c>
      <c r="Q248" s="30" t="s">
        <v>622</v>
      </c>
      <c r="R248" s="30" t="s">
        <v>623</v>
      </c>
      <c r="S248" s="30"/>
      <c r="T248" s="30"/>
      <c r="U248" s="30"/>
      <c r="V248" s="30" t="s">
        <v>172</v>
      </c>
      <c r="W248" s="30" t="s">
        <v>173</v>
      </c>
      <c r="X248" s="30" t="s">
        <v>589</v>
      </c>
      <c r="Y248" s="30" t="s">
        <v>714</v>
      </c>
      <c r="Z248" s="30">
        <v>1</v>
      </c>
      <c r="AA248" s="30" t="s">
        <v>197</v>
      </c>
      <c r="AB248" s="30">
        <v>11</v>
      </c>
      <c r="AC248" s="30" t="s">
        <v>177</v>
      </c>
      <c r="AD248" s="30" t="s">
        <v>178</v>
      </c>
      <c r="AE248" s="30" t="s">
        <v>8</v>
      </c>
      <c r="AF248" s="30" t="s">
        <v>38</v>
      </c>
      <c r="AG248" s="30" t="s">
        <v>42</v>
      </c>
      <c r="AH248" s="30" t="s">
        <v>4</v>
      </c>
      <c r="AI248" s="30"/>
    </row>
    <row r="249" spans="1:35" x14ac:dyDescent="0.3">
      <c r="A249" s="30">
        <v>55</v>
      </c>
      <c r="B249" s="30" t="s">
        <v>569</v>
      </c>
      <c r="C249" s="30" t="s">
        <v>570</v>
      </c>
      <c r="D249" s="31">
        <v>46053</v>
      </c>
      <c r="E249" s="30">
        <v>1160</v>
      </c>
      <c r="F249" s="30">
        <v>0</v>
      </c>
      <c r="G249" s="32">
        <v>-351364</v>
      </c>
      <c r="H249" s="30">
        <v>40145014922</v>
      </c>
      <c r="I249" s="30" t="s">
        <v>715</v>
      </c>
      <c r="J249" s="30" t="s">
        <v>708</v>
      </c>
      <c r="K249" s="30" t="s">
        <v>42</v>
      </c>
      <c r="L249" s="30" t="s">
        <v>670</v>
      </c>
      <c r="M249" s="30" t="s">
        <v>671</v>
      </c>
      <c r="N249" s="30" t="s">
        <v>397</v>
      </c>
      <c r="O249" s="30">
        <v>-241.03</v>
      </c>
      <c r="P249" s="30">
        <v>1457.77</v>
      </c>
      <c r="Q249" s="30" t="s">
        <v>716</v>
      </c>
      <c r="R249" s="30" t="s">
        <v>717</v>
      </c>
      <c r="S249" s="30"/>
      <c r="T249" s="30"/>
      <c r="U249" s="30"/>
      <c r="V249" s="30" t="s">
        <v>172</v>
      </c>
      <c r="W249" s="30" t="s">
        <v>173</v>
      </c>
      <c r="X249" s="30" t="s">
        <v>589</v>
      </c>
      <c r="Y249" s="30" t="s">
        <v>714</v>
      </c>
      <c r="Z249" s="30">
        <v>7</v>
      </c>
      <c r="AA249" s="30" t="s">
        <v>197</v>
      </c>
      <c r="AB249" s="30">
        <v>11</v>
      </c>
      <c r="AC249" s="30" t="s">
        <v>177</v>
      </c>
      <c r="AD249" s="30" t="s">
        <v>178</v>
      </c>
      <c r="AE249" s="30" t="s">
        <v>8</v>
      </c>
      <c r="AF249" s="30" t="s">
        <v>38</v>
      </c>
      <c r="AG249" s="30" t="s">
        <v>42</v>
      </c>
      <c r="AH249" s="30" t="s">
        <v>4</v>
      </c>
      <c r="AI249" s="30"/>
    </row>
    <row r="250" spans="1:35" x14ac:dyDescent="0.3">
      <c r="A250" s="30">
        <v>56</v>
      </c>
      <c r="B250" s="30" t="s">
        <v>569</v>
      </c>
      <c r="C250" s="30" t="s">
        <v>570</v>
      </c>
      <c r="D250" s="31">
        <v>46053</v>
      </c>
      <c r="E250" s="30">
        <v>1160</v>
      </c>
      <c r="F250" s="30">
        <v>0</v>
      </c>
      <c r="G250" s="32">
        <v>-43719</v>
      </c>
      <c r="H250" s="30">
        <v>40144971203</v>
      </c>
      <c r="I250" s="30" t="s">
        <v>718</v>
      </c>
      <c r="J250" s="30" t="s">
        <v>708</v>
      </c>
      <c r="K250" s="30" t="s">
        <v>42</v>
      </c>
      <c r="L250" s="30" t="s">
        <v>194</v>
      </c>
      <c r="M250" s="30" t="s">
        <v>195</v>
      </c>
      <c r="N250" s="30" t="s">
        <v>397</v>
      </c>
      <c r="O250" s="30">
        <v>-29.99</v>
      </c>
      <c r="P250" s="30">
        <v>-1457.77</v>
      </c>
      <c r="Q250" s="30" t="s">
        <v>622</v>
      </c>
      <c r="R250" s="30" t="s">
        <v>623</v>
      </c>
      <c r="S250" s="30"/>
      <c r="T250" s="30"/>
      <c r="U250" s="30"/>
      <c r="V250" s="30" t="s">
        <v>172</v>
      </c>
      <c r="W250" s="30" t="s">
        <v>173</v>
      </c>
      <c r="X250" s="30" t="s">
        <v>589</v>
      </c>
      <c r="Y250" s="30" t="s">
        <v>714</v>
      </c>
      <c r="Z250" s="30">
        <v>13</v>
      </c>
      <c r="AA250" s="30" t="s">
        <v>197</v>
      </c>
      <c r="AB250" s="30">
        <v>11</v>
      </c>
      <c r="AC250" s="30" t="s">
        <v>177</v>
      </c>
      <c r="AD250" s="30" t="s">
        <v>178</v>
      </c>
      <c r="AE250" s="30" t="s">
        <v>8</v>
      </c>
      <c r="AF250" s="30" t="s">
        <v>38</v>
      </c>
      <c r="AG250" s="30" t="s">
        <v>42</v>
      </c>
      <c r="AH250" s="30" t="s">
        <v>4</v>
      </c>
      <c r="AI250" s="30"/>
    </row>
    <row r="251" spans="1:35" x14ac:dyDescent="0.3">
      <c r="A251" s="30">
        <v>57</v>
      </c>
      <c r="B251" s="30" t="s">
        <v>569</v>
      </c>
      <c r="C251" s="30" t="s">
        <v>570</v>
      </c>
      <c r="D251" s="31">
        <v>46053</v>
      </c>
      <c r="E251" s="30">
        <v>1180</v>
      </c>
      <c r="F251" s="30">
        <v>0</v>
      </c>
      <c r="G251" s="32">
        <v>1147682</v>
      </c>
      <c r="H251" s="30">
        <v>40146118885</v>
      </c>
      <c r="I251" s="30" t="s">
        <v>719</v>
      </c>
      <c r="J251" s="30" t="s">
        <v>720</v>
      </c>
      <c r="K251" s="30" t="s">
        <v>29</v>
      </c>
      <c r="L251" s="30" t="s">
        <v>194</v>
      </c>
      <c r="M251" s="30" t="s">
        <v>195</v>
      </c>
      <c r="N251" s="30" t="s">
        <v>721</v>
      </c>
      <c r="O251" s="30">
        <v>671.23</v>
      </c>
      <c r="P251" s="30">
        <v>1709.82</v>
      </c>
      <c r="Q251" s="30" t="s">
        <v>168</v>
      </c>
      <c r="R251" s="30" t="s">
        <v>169</v>
      </c>
      <c r="S251" s="30"/>
      <c r="T251" s="30"/>
      <c r="U251" s="30"/>
      <c r="V251" s="30" t="s">
        <v>172</v>
      </c>
      <c r="W251" s="30" t="s">
        <v>173</v>
      </c>
      <c r="X251" s="30" t="s">
        <v>228</v>
      </c>
      <c r="Y251" s="30" t="s">
        <v>722</v>
      </c>
      <c r="Z251" s="30">
        <v>9</v>
      </c>
      <c r="AA251" s="30" t="s">
        <v>575</v>
      </c>
      <c r="AB251" s="30">
        <v>11</v>
      </c>
      <c r="AC251" s="30" t="s">
        <v>177</v>
      </c>
      <c r="AD251" s="30" t="s">
        <v>178</v>
      </c>
      <c r="AE251" s="30" t="s">
        <v>8</v>
      </c>
      <c r="AF251" s="30" t="s">
        <v>28</v>
      </c>
      <c r="AG251" s="30" t="s">
        <v>29</v>
      </c>
      <c r="AH251" s="30" t="s">
        <v>4</v>
      </c>
      <c r="AI251" s="30"/>
    </row>
    <row r="252" spans="1:35" x14ac:dyDescent="0.3">
      <c r="A252" s="30">
        <v>58</v>
      </c>
      <c r="B252" s="30" t="s">
        <v>569</v>
      </c>
      <c r="C252" s="30" t="s">
        <v>570</v>
      </c>
      <c r="D252" s="31">
        <v>46053</v>
      </c>
      <c r="E252" s="30">
        <v>1180</v>
      </c>
      <c r="F252" s="30">
        <v>0</v>
      </c>
      <c r="G252" s="32">
        <v>22923</v>
      </c>
      <c r="H252" s="30">
        <v>40146141808</v>
      </c>
      <c r="I252" s="30" t="s">
        <v>723</v>
      </c>
      <c r="J252" s="30" t="s">
        <v>720</v>
      </c>
      <c r="K252" s="30" t="s">
        <v>29</v>
      </c>
      <c r="L252" s="30" t="s">
        <v>194</v>
      </c>
      <c r="M252" s="30" t="s">
        <v>195</v>
      </c>
      <c r="N252" s="30" t="s">
        <v>724</v>
      </c>
      <c r="O252" s="30">
        <v>11.64</v>
      </c>
      <c r="P252" s="30">
        <v>1969.32</v>
      </c>
      <c r="Q252" s="30" t="s">
        <v>168</v>
      </c>
      <c r="R252" s="30" t="s">
        <v>169</v>
      </c>
      <c r="S252" s="30"/>
      <c r="T252" s="30"/>
      <c r="U252" s="30"/>
      <c r="V252" s="30" t="s">
        <v>172</v>
      </c>
      <c r="W252" s="30" t="s">
        <v>173</v>
      </c>
      <c r="X252" s="30" t="s">
        <v>228</v>
      </c>
      <c r="Y252" s="30" t="s">
        <v>722</v>
      </c>
      <c r="Z252" s="30">
        <v>10</v>
      </c>
      <c r="AA252" s="30" t="s">
        <v>575</v>
      </c>
      <c r="AB252" s="30">
        <v>11</v>
      </c>
      <c r="AC252" s="30" t="s">
        <v>177</v>
      </c>
      <c r="AD252" s="30" t="s">
        <v>178</v>
      </c>
      <c r="AE252" s="30" t="s">
        <v>8</v>
      </c>
      <c r="AF252" s="30" t="s">
        <v>28</v>
      </c>
      <c r="AG252" s="30" t="s">
        <v>29</v>
      </c>
      <c r="AH252" s="30" t="s">
        <v>4</v>
      </c>
      <c r="AI252" s="30"/>
    </row>
    <row r="253" spans="1:35" x14ac:dyDescent="0.3">
      <c r="A253" s="30">
        <v>59</v>
      </c>
      <c r="B253" s="30" t="s">
        <v>569</v>
      </c>
      <c r="C253" s="30" t="s">
        <v>570</v>
      </c>
      <c r="D253" s="31">
        <v>46053</v>
      </c>
      <c r="E253" s="30">
        <v>1180</v>
      </c>
      <c r="F253" s="30">
        <v>0</v>
      </c>
      <c r="G253" s="32">
        <v>592246</v>
      </c>
      <c r="H253" s="30">
        <v>40146734054</v>
      </c>
      <c r="I253" s="30" t="s">
        <v>725</v>
      </c>
      <c r="J253" s="30" t="s">
        <v>720</v>
      </c>
      <c r="K253" s="30" t="s">
        <v>29</v>
      </c>
      <c r="L253" s="30" t="s">
        <v>194</v>
      </c>
      <c r="M253" s="30" t="s">
        <v>195</v>
      </c>
      <c r="N253" s="30" t="s">
        <v>397</v>
      </c>
      <c r="O253" s="30">
        <v>406.62</v>
      </c>
      <c r="P253" s="30">
        <v>1456.51</v>
      </c>
      <c r="Q253" s="30" t="s">
        <v>168</v>
      </c>
      <c r="R253" s="30" t="s">
        <v>169</v>
      </c>
      <c r="S253" s="30"/>
      <c r="T253" s="30"/>
      <c r="U253" s="30"/>
      <c r="V253" s="30" t="s">
        <v>172</v>
      </c>
      <c r="W253" s="30" t="s">
        <v>173</v>
      </c>
      <c r="X253" s="30" t="s">
        <v>228</v>
      </c>
      <c r="Y253" s="30" t="s">
        <v>722</v>
      </c>
      <c r="Z253" s="30">
        <v>11</v>
      </c>
      <c r="AA253" s="30" t="s">
        <v>575</v>
      </c>
      <c r="AB253" s="30">
        <v>11</v>
      </c>
      <c r="AC253" s="30" t="s">
        <v>177</v>
      </c>
      <c r="AD253" s="30" t="s">
        <v>178</v>
      </c>
      <c r="AE253" s="30" t="s">
        <v>8</v>
      </c>
      <c r="AF253" s="30" t="s">
        <v>28</v>
      </c>
      <c r="AG253" s="30" t="s">
        <v>29</v>
      </c>
      <c r="AH253" s="30" t="s">
        <v>4</v>
      </c>
      <c r="AI253" s="30"/>
    </row>
    <row r="254" spans="1:35" x14ac:dyDescent="0.3">
      <c r="A254" s="30">
        <v>60</v>
      </c>
      <c r="B254" s="30" t="s">
        <v>569</v>
      </c>
      <c r="C254" s="30" t="s">
        <v>570</v>
      </c>
      <c r="D254" s="31">
        <v>46053</v>
      </c>
      <c r="E254" s="30">
        <v>1180</v>
      </c>
      <c r="F254" s="30">
        <v>0</v>
      </c>
      <c r="G254" s="32">
        <v>346749</v>
      </c>
      <c r="H254" s="30">
        <v>40147080803</v>
      </c>
      <c r="I254" s="30" t="s">
        <v>726</v>
      </c>
      <c r="J254" s="30" t="s">
        <v>720</v>
      </c>
      <c r="K254" s="30" t="s">
        <v>29</v>
      </c>
      <c r="L254" s="30" t="s">
        <v>194</v>
      </c>
      <c r="M254" s="30" t="s">
        <v>195</v>
      </c>
      <c r="N254" s="30" t="s">
        <v>667</v>
      </c>
      <c r="O254" s="30">
        <v>37304.54</v>
      </c>
      <c r="P254" s="30">
        <v>9.2950999999999997</v>
      </c>
      <c r="Q254" s="30" t="s">
        <v>168</v>
      </c>
      <c r="R254" s="30" t="s">
        <v>169</v>
      </c>
      <c r="S254" s="30"/>
      <c r="T254" s="30"/>
      <c r="U254" s="30"/>
      <c r="V254" s="30" t="s">
        <v>172</v>
      </c>
      <c r="W254" s="30" t="s">
        <v>173</v>
      </c>
      <c r="X254" s="30" t="s">
        <v>228</v>
      </c>
      <c r="Y254" s="30" t="s">
        <v>722</v>
      </c>
      <c r="Z254" s="30">
        <v>12</v>
      </c>
      <c r="AA254" s="30" t="s">
        <v>575</v>
      </c>
      <c r="AB254" s="30">
        <v>11</v>
      </c>
      <c r="AC254" s="30" t="s">
        <v>177</v>
      </c>
      <c r="AD254" s="30" t="s">
        <v>178</v>
      </c>
      <c r="AE254" s="30" t="s">
        <v>8</v>
      </c>
      <c r="AF254" s="30" t="s">
        <v>28</v>
      </c>
      <c r="AG254" s="30" t="s">
        <v>29</v>
      </c>
      <c r="AH254" s="30" t="s">
        <v>4</v>
      </c>
      <c r="AI254" s="30"/>
    </row>
    <row r="255" spans="1:35" x14ac:dyDescent="0.3">
      <c r="A255" s="30">
        <v>67</v>
      </c>
      <c r="B255" s="30" t="s">
        <v>569</v>
      </c>
      <c r="C255" s="30" t="s">
        <v>570</v>
      </c>
      <c r="D255" s="31">
        <v>46081</v>
      </c>
      <c r="E255" s="30">
        <v>1111</v>
      </c>
      <c r="F255" s="30">
        <v>0</v>
      </c>
      <c r="G255" s="32">
        <v>-5656328537</v>
      </c>
      <c r="H255" s="30">
        <v>-5656328537</v>
      </c>
      <c r="I255" s="30" t="s">
        <v>727</v>
      </c>
      <c r="J255" s="30" t="s">
        <v>675</v>
      </c>
      <c r="K255" s="30" t="s">
        <v>676</v>
      </c>
      <c r="L255" s="30" t="s">
        <v>194</v>
      </c>
      <c r="M255" s="30" t="s">
        <v>195</v>
      </c>
      <c r="N255" s="30" t="s">
        <v>167</v>
      </c>
      <c r="O255" s="30">
        <v>-5656328537</v>
      </c>
      <c r="P255" s="30">
        <v>1</v>
      </c>
      <c r="Q255" s="30" t="s">
        <v>168</v>
      </c>
      <c r="R255" s="30" t="s">
        <v>169</v>
      </c>
      <c r="S255" s="30"/>
      <c r="T255" s="30"/>
      <c r="U255" s="30"/>
      <c r="V255" s="30" t="s">
        <v>172</v>
      </c>
      <c r="W255" s="30" t="s">
        <v>173</v>
      </c>
      <c r="X255" s="30" t="s">
        <v>228</v>
      </c>
      <c r="Y255" s="30" t="s">
        <v>728</v>
      </c>
      <c r="Z255" s="30">
        <v>5</v>
      </c>
      <c r="AA255" s="30" t="s">
        <v>575</v>
      </c>
      <c r="AB255" s="30">
        <v>11</v>
      </c>
      <c r="AC255" s="30" t="s">
        <v>177</v>
      </c>
      <c r="AD255" s="30" t="s">
        <v>178</v>
      </c>
      <c r="AE255" s="30" t="s">
        <v>8</v>
      </c>
      <c r="AF255" s="30" t="s">
        <v>28</v>
      </c>
      <c r="AG255" s="30" t="s">
        <v>10</v>
      </c>
      <c r="AH255" s="30" t="s">
        <v>5</v>
      </c>
      <c r="AI255" s="30"/>
    </row>
    <row r="256" spans="1:35" x14ac:dyDescent="0.3">
      <c r="A256" s="30">
        <v>68</v>
      </c>
      <c r="B256" s="30" t="s">
        <v>569</v>
      </c>
      <c r="C256" s="30" t="s">
        <v>570</v>
      </c>
      <c r="D256" s="31">
        <v>46081</v>
      </c>
      <c r="E256" s="30">
        <v>1111</v>
      </c>
      <c r="F256" s="30">
        <v>0</v>
      </c>
      <c r="G256" s="32">
        <v>-898301655</v>
      </c>
      <c r="H256" s="30">
        <v>-6554630192</v>
      </c>
      <c r="I256" s="30" t="s">
        <v>729</v>
      </c>
      <c r="J256" s="30" t="s">
        <v>675</v>
      </c>
      <c r="K256" s="30" t="s">
        <v>676</v>
      </c>
      <c r="L256" s="30" t="s">
        <v>194</v>
      </c>
      <c r="M256" s="30" t="s">
        <v>195</v>
      </c>
      <c r="N256" s="30" t="s">
        <v>167</v>
      </c>
      <c r="O256" s="30">
        <v>-898301655</v>
      </c>
      <c r="P256" s="30">
        <v>1</v>
      </c>
      <c r="Q256" s="30" t="s">
        <v>168</v>
      </c>
      <c r="R256" s="30" t="s">
        <v>169</v>
      </c>
      <c r="S256" s="30"/>
      <c r="T256" s="30"/>
      <c r="U256" s="30"/>
      <c r="V256" s="30" t="s">
        <v>172</v>
      </c>
      <c r="W256" s="30" t="s">
        <v>173</v>
      </c>
      <c r="X256" s="30" t="s">
        <v>228</v>
      </c>
      <c r="Y256" s="30" t="s">
        <v>728</v>
      </c>
      <c r="Z256" s="30">
        <v>6</v>
      </c>
      <c r="AA256" s="30" t="s">
        <v>575</v>
      </c>
      <c r="AB256" s="30">
        <v>11</v>
      </c>
      <c r="AC256" s="30" t="s">
        <v>177</v>
      </c>
      <c r="AD256" s="30" t="s">
        <v>178</v>
      </c>
      <c r="AE256" s="30" t="s">
        <v>8</v>
      </c>
      <c r="AF256" s="30" t="s">
        <v>28</v>
      </c>
      <c r="AG256" s="30" t="s">
        <v>10</v>
      </c>
      <c r="AH256" s="30" t="s">
        <v>5</v>
      </c>
      <c r="AI256" s="30"/>
    </row>
    <row r="257" spans="1:35" x14ac:dyDescent="0.3">
      <c r="A257" s="30">
        <v>69</v>
      </c>
      <c r="B257" s="30" t="s">
        <v>569</v>
      </c>
      <c r="C257" s="30" t="s">
        <v>570</v>
      </c>
      <c r="D257" s="31">
        <v>46081</v>
      </c>
      <c r="E257" s="30">
        <v>1111</v>
      </c>
      <c r="F257" s="30">
        <v>0</v>
      </c>
      <c r="G257" s="32">
        <v>-6894017373</v>
      </c>
      <c r="H257" s="30">
        <v>-13448647565</v>
      </c>
      <c r="I257" s="30" t="s">
        <v>730</v>
      </c>
      <c r="J257" s="30" t="s">
        <v>675</v>
      </c>
      <c r="K257" s="30" t="s">
        <v>676</v>
      </c>
      <c r="L257" s="30" t="s">
        <v>194</v>
      </c>
      <c r="M257" s="30" t="s">
        <v>195</v>
      </c>
      <c r="N257" s="30" t="s">
        <v>167</v>
      </c>
      <c r="O257" s="30">
        <v>-6894017373</v>
      </c>
      <c r="P257" s="30">
        <v>1</v>
      </c>
      <c r="Q257" s="30" t="s">
        <v>168</v>
      </c>
      <c r="R257" s="30" t="s">
        <v>169</v>
      </c>
      <c r="S257" s="30"/>
      <c r="T257" s="30"/>
      <c r="U257" s="30"/>
      <c r="V257" s="30" t="s">
        <v>172</v>
      </c>
      <c r="W257" s="30" t="s">
        <v>173</v>
      </c>
      <c r="X257" s="30" t="s">
        <v>228</v>
      </c>
      <c r="Y257" s="30" t="s">
        <v>728</v>
      </c>
      <c r="Z257" s="30">
        <v>7</v>
      </c>
      <c r="AA257" s="30" t="s">
        <v>575</v>
      </c>
      <c r="AB257" s="30">
        <v>11</v>
      </c>
      <c r="AC257" s="30" t="s">
        <v>177</v>
      </c>
      <c r="AD257" s="30" t="s">
        <v>178</v>
      </c>
      <c r="AE257" s="30" t="s">
        <v>8</v>
      </c>
      <c r="AF257" s="30" t="s">
        <v>28</v>
      </c>
      <c r="AG257" s="30" t="s">
        <v>10</v>
      </c>
      <c r="AH257" s="30" t="s">
        <v>5</v>
      </c>
      <c r="AI257" s="30"/>
    </row>
    <row r="258" spans="1:35" x14ac:dyDescent="0.3">
      <c r="A258" s="30">
        <v>70</v>
      </c>
      <c r="B258" s="30" t="s">
        <v>569</v>
      </c>
      <c r="C258" s="30" t="s">
        <v>570</v>
      </c>
      <c r="D258" s="31">
        <v>46081</v>
      </c>
      <c r="E258" s="30">
        <v>1112</v>
      </c>
      <c r="F258" s="30">
        <v>0</v>
      </c>
      <c r="G258" s="32">
        <v>-4009990111</v>
      </c>
      <c r="H258" s="30">
        <v>-17458637676</v>
      </c>
      <c r="I258" s="30" t="s">
        <v>731</v>
      </c>
      <c r="J258" s="30" t="s">
        <v>572</v>
      </c>
      <c r="K258" s="30" t="s">
        <v>573</v>
      </c>
      <c r="L258" s="30" t="s">
        <v>194</v>
      </c>
      <c r="M258" s="30" t="s">
        <v>195</v>
      </c>
      <c r="N258" s="30" t="s">
        <v>397</v>
      </c>
      <c r="O258" s="30">
        <v>-2753149.73</v>
      </c>
      <c r="P258" s="30">
        <v>1456.51</v>
      </c>
      <c r="Q258" s="30" t="s">
        <v>168</v>
      </c>
      <c r="R258" s="30" t="s">
        <v>169</v>
      </c>
      <c r="S258" s="30"/>
      <c r="T258" s="30"/>
      <c r="U258" s="30"/>
      <c r="V258" s="30" t="s">
        <v>172</v>
      </c>
      <c r="W258" s="30" t="s">
        <v>173</v>
      </c>
      <c r="X258" s="30" t="s">
        <v>228</v>
      </c>
      <c r="Y258" s="30" t="s">
        <v>732</v>
      </c>
      <c r="Z258" s="30">
        <v>7</v>
      </c>
      <c r="AA258" s="30" t="s">
        <v>575</v>
      </c>
      <c r="AB258" s="30">
        <v>11</v>
      </c>
      <c r="AC258" s="30" t="s">
        <v>177</v>
      </c>
      <c r="AD258" s="30" t="s">
        <v>178</v>
      </c>
      <c r="AE258" s="30" t="s">
        <v>8</v>
      </c>
      <c r="AF258" s="30" t="s">
        <v>28</v>
      </c>
      <c r="AG258" s="30" t="s">
        <v>9</v>
      </c>
      <c r="AH258" s="30" t="s">
        <v>5</v>
      </c>
      <c r="AI258" s="30"/>
    </row>
    <row r="259" spans="1:35" x14ac:dyDescent="0.3">
      <c r="A259" s="30">
        <v>71</v>
      </c>
      <c r="B259" s="30" t="s">
        <v>569</v>
      </c>
      <c r="C259" s="30" t="s">
        <v>570</v>
      </c>
      <c r="D259" s="31">
        <v>46081</v>
      </c>
      <c r="E259" s="30">
        <v>1112</v>
      </c>
      <c r="F259" s="30">
        <v>0</v>
      </c>
      <c r="G259" s="32">
        <v>-2444656135</v>
      </c>
      <c r="H259" s="30">
        <v>-19903293811</v>
      </c>
      <c r="I259" s="30" t="s">
        <v>733</v>
      </c>
      <c r="J259" s="30" t="s">
        <v>572</v>
      </c>
      <c r="K259" s="30" t="s">
        <v>573</v>
      </c>
      <c r="L259" s="30" t="s">
        <v>194</v>
      </c>
      <c r="M259" s="30" t="s">
        <v>195</v>
      </c>
      <c r="N259" s="30" t="s">
        <v>397</v>
      </c>
      <c r="O259" s="30">
        <v>-1678434.16</v>
      </c>
      <c r="P259" s="30">
        <v>1456.51</v>
      </c>
      <c r="Q259" s="30" t="s">
        <v>168</v>
      </c>
      <c r="R259" s="30" t="s">
        <v>169</v>
      </c>
      <c r="S259" s="30"/>
      <c r="T259" s="30"/>
      <c r="U259" s="30"/>
      <c r="V259" s="30" t="s">
        <v>172</v>
      </c>
      <c r="W259" s="30" t="s">
        <v>173</v>
      </c>
      <c r="X259" s="30" t="s">
        <v>228</v>
      </c>
      <c r="Y259" s="30" t="s">
        <v>732</v>
      </c>
      <c r="Z259" s="30">
        <v>8</v>
      </c>
      <c r="AA259" s="30" t="s">
        <v>575</v>
      </c>
      <c r="AB259" s="30">
        <v>11</v>
      </c>
      <c r="AC259" s="30" t="s">
        <v>177</v>
      </c>
      <c r="AD259" s="30" t="s">
        <v>178</v>
      </c>
      <c r="AE259" s="30" t="s">
        <v>8</v>
      </c>
      <c r="AF259" s="30" t="s">
        <v>28</v>
      </c>
      <c r="AG259" s="30" t="s">
        <v>9</v>
      </c>
      <c r="AH259" s="30" t="s">
        <v>5</v>
      </c>
      <c r="AI259" s="30"/>
    </row>
    <row r="260" spans="1:35" x14ac:dyDescent="0.3">
      <c r="A260" s="30">
        <v>72</v>
      </c>
      <c r="B260" s="30" t="s">
        <v>569</v>
      </c>
      <c r="C260" s="30" t="s">
        <v>570</v>
      </c>
      <c r="D260" s="31">
        <v>46081</v>
      </c>
      <c r="E260" s="30">
        <v>1112</v>
      </c>
      <c r="F260" s="30">
        <v>0</v>
      </c>
      <c r="G260" s="32">
        <v>-12919531740</v>
      </c>
      <c r="H260" s="30">
        <v>-32822825551</v>
      </c>
      <c r="I260" s="30" t="s">
        <v>734</v>
      </c>
      <c r="J260" s="30" t="s">
        <v>572</v>
      </c>
      <c r="K260" s="30" t="s">
        <v>573</v>
      </c>
      <c r="L260" s="30" t="s">
        <v>194</v>
      </c>
      <c r="M260" s="30" t="s">
        <v>195</v>
      </c>
      <c r="N260" s="30" t="s">
        <v>397</v>
      </c>
      <c r="O260" s="30">
        <v>-8870197.7599999998</v>
      </c>
      <c r="P260" s="30">
        <v>1456.51</v>
      </c>
      <c r="Q260" s="30" t="s">
        <v>168</v>
      </c>
      <c r="R260" s="30" t="s">
        <v>169</v>
      </c>
      <c r="S260" s="30"/>
      <c r="T260" s="30"/>
      <c r="U260" s="30"/>
      <c r="V260" s="30" t="s">
        <v>172</v>
      </c>
      <c r="W260" s="30" t="s">
        <v>173</v>
      </c>
      <c r="X260" s="30" t="s">
        <v>228</v>
      </c>
      <c r="Y260" s="30" t="s">
        <v>732</v>
      </c>
      <c r="Z260" s="30">
        <v>9</v>
      </c>
      <c r="AA260" s="30" t="s">
        <v>575</v>
      </c>
      <c r="AB260" s="30">
        <v>11</v>
      </c>
      <c r="AC260" s="30" t="s">
        <v>177</v>
      </c>
      <c r="AD260" s="30" t="s">
        <v>178</v>
      </c>
      <c r="AE260" s="30" t="s">
        <v>8</v>
      </c>
      <c r="AF260" s="30" t="s">
        <v>28</v>
      </c>
      <c r="AG260" s="30" t="s">
        <v>9</v>
      </c>
      <c r="AH260" s="30" t="s">
        <v>5</v>
      </c>
      <c r="AI260" s="30"/>
    </row>
    <row r="261" spans="1:35" x14ac:dyDescent="0.3">
      <c r="A261" s="30">
        <v>73</v>
      </c>
      <c r="B261" s="30" t="s">
        <v>569</v>
      </c>
      <c r="C261" s="30" t="s">
        <v>570</v>
      </c>
      <c r="D261" s="31">
        <v>46081</v>
      </c>
      <c r="E261" s="30">
        <v>1113</v>
      </c>
      <c r="F261" s="30">
        <v>0</v>
      </c>
      <c r="G261" s="32">
        <v>-973263687</v>
      </c>
      <c r="H261" s="30">
        <v>-33796089238</v>
      </c>
      <c r="I261" s="30" t="s">
        <v>735</v>
      </c>
      <c r="J261" s="30" t="s">
        <v>689</v>
      </c>
      <c r="K261" s="30" t="s">
        <v>690</v>
      </c>
      <c r="L261" s="30" t="s">
        <v>194</v>
      </c>
      <c r="M261" s="30" t="s">
        <v>195</v>
      </c>
      <c r="N261" s="30" t="s">
        <v>397</v>
      </c>
      <c r="O261" s="30">
        <v>-668216.27</v>
      </c>
      <c r="P261" s="30">
        <v>1456.51</v>
      </c>
      <c r="Q261" s="30" t="s">
        <v>168</v>
      </c>
      <c r="R261" s="30" t="s">
        <v>169</v>
      </c>
      <c r="S261" s="30"/>
      <c r="T261" s="30"/>
      <c r="U261" s="30"/>
      <c r="V261" s="30" t="s">
        <v>172</v>
      </c>
      <c r="W261" s="30" t="s">
        <v>173</v>
      </c>
      <c r="X261" s="30" t="s">
        <v>228</v>
      </c>
      <c r="Y261" s="30" t="s">
        <v>736</v>
      </c>
      <c r="Z261" s="30">
        <v>3</v>
      </c>
      <c r="AA261" s="30" t="s">
        <v>575</v>
      </c>
      <c r="AB261" s="30">
        <v>11</v>
      </c>
      <c r="AC261" s="30" t="s">
        <v>177</v>
      </c>
      <c r="AD261" s="30" t="s">
        <v>178</v>
      </c>
      <c r="AE261" s="30" t="s">
        <v>8</v>
      </c>
      <c r="AF261" s="30" t="s">
        <v>28</v>
      </c>
      <c r="AG261" s="30" t="s">
        <v>13</v>
      </c>
      <c r="AH261" s="30" t="s">
        <v>5</v>
      </c>
      <c r="AI261" s="30"/>
    </row>
    <row r="262" spans="1:35" x14ac:dyDescent="0.3">
      <c r="A262" s="30">
        <v>74</v>
      </c>
      <c r="B262" s="30" t="s">
        <v>569</v>
      </c>
      <c r="C262" s="30" t="s">
        <v>570</v>
      </c>
      <c r="D262" s="31">
        <v>46081</v>
      </c>
      <c r="E262" s="30">
        <v>1114</v>
      </c>
      <c r="F262" s="30">
        <v>0</v>
      </c>
      <c r="G262" s="32">
        <v>-1147682</v>
      </c>
      <c r="H262" s="30">
        <v>-33797236920</v>
      </c>
      <c r="I262" s="30" t="s">
        <v>737</v>
      </c>
      <c r="J262" s="30" t="s">
        <v>720</v>
      </c>
      <c r="K262" s="30" t="s">
        <v>29</v>
      </c>
      <c r="L262" s="30" t="s">
        <v>194</v>
      </c>
      <c r="M262" s="30" t="s">
        <v>195</v>
      </c>
      <c r="N262" s="30" t="s">
        <v>721</v>
      </c>
      <c r="O262" s="30">
        <v>-671.23</v>
      </c>
      <c r="P262" s="30">
        <v>1709.82</v>
      </c>
      <c r="Q262" s="30" t="s">
        <v>168</v>
      </c>
      <c r="R262" s="30" t="s">
        <v>169</v>
      </c>
      <c r="S262" s="30"/>
      <c r="T262" s="30"/>
      <c r="U262" s="30"/>
      <c r="V262" s="30" t="s">
        <v>172</v>
      </c>
      <c r="W262" s="30" t="s">
        <v>173</v>
      </c>
      <c r="X262" s="30" t="s">
        <v>228</v>
      </c>
      <c r="Y262" s="30" t="s">
        <v>738</v>
      </c>
      <c r="Z262" s="30">
        <v>9</v>
      </c>
      <c r="AA262" s="30" t="s">
        <v>575</v>
      </c>
      <c r="AB262" s="30">
        <v>11</v>
      </c>
      <c r="AC262" s="30" t="s">
        <v>177</v>
      </c>
      <c r="AD262" s="30" t="s">
        <v>178</v>
      </c>
      <c r="AE262" s="30" t="s">
        <v>8</v>
      </c>
      <c r="AF262" s="30" t="s">
        <v>28</v>
      </c>
      <c r="AG262" s="30" t="s">
        <v>29</v>
      </c>
      <c r="AH262" s="30" t="s">
        <v>5</v>
      </c>
      <c r="AI262" s="30"/>
    </row>
    <row r="263" spans="1:35" x14ac:dyDescent="0.3">
      <c r="A263" s="30">
        <v>75</v>
      </c>
      <c r="B263" s="30" t="s">
        <v>569</v>
      </c>
      <c r="C263" s="30" t="s">
        <v>570</v>
      </c>
      <c r="D263" s="31">
        <v>46081</v>
      </c>
      <c r="E263" s="30">
        <v>1114</v>
      </c>
      <c r="F263" s="30">
        <v>0</v>
      </c>
      <c r="G263" s="32">
        <v>-22923</v>
      </c>
      <c r="H263" s="30">
        <v>-33797259843</v>
      </c>
      <c r="I263" s="30" t="s">
        <v>739</v>
      </c>
      <c r="J263" s="30" t="s">
        <v>720</v>
      </c>
      <c r="K263" s="30" t="s">
        <v>29</v>
      </c>
      <c r="L263" s="30" t="s">
        <v>194</v>
      </c>
      <c r="M263" s="30" t="s">
        <v>195</v>
      </c>
      <c r="N263" s="30" t="s">
        <v>724</v>
      </c>
      <c r="O263" s="30">
        <v>-11.64</v>
      </c>
      <c r="P263" s="30">
        <v>1969.32</v>
      </c>
      <c r="Q263" s="30" t="s">
        <v>168</v>
      </c>
      <c r="R263" s="30" t="s">
        <v>169</v>
      </c>
      <c r="S263" s="30"/>
      <c r="T263" s="30"/>
      <c r="U263" s="30"/>
      <c r="V263" s="30" t="s">
        <v>172</v>
      </c>
      <c r="W263" s="30" t="s">
        <v>173</v>
      </c>
      <c r="X263" s="30" t="s">
        <v>228</v>
      </c>
      <c r="Y263" s="30" t="s">
        <v>738</v>
      </c>
      <c r="Z263" s="30">
        <v>10</v>
      </c>
      <c r="AA263" s="30" t="s">
        <v>575</v>
      </c>
      <c r="AB263" s="30">
        <v>11</v>
      </c>
      <c r="AC263" s="30" t="s">
        <v>177</v>
      </c>
      <c r="AD263" s="30" t="s">
        <v>178</v>
      </c>
      <c r="AE263" s="30" t="s">
        <v>8</v>
      </c>
      <c r="AF263" s="30" t="s">
        <v>28</v>
      </c>
      <c r="AG263" s="30" t="s">
        <v>29</v>
      </c>
      <c r="AH263" s="30" t="s">
        <v>5</v>
      </c>
      <c r="AI263" s="30"/>
    </row>
    <row r="264" spans="1:35" x14ac:dyDescent="0.3">
      <c r="A264" s="30">
        <v>76</v>
      </c>
      <c r="B264" s="30" t="s">
        <v>569</v>
      </c>
      <c r="C264" s="30" t="s">
        <v>570</v>
      </c>
      <c r="D264" s="31">
        <v>46081</v>
      </c>
      <c r="E264" s="30">
        <v>1114</v>
      </c>
      <c r="F264" s="30">
        <v>0</v>
      </c>
      <c r="G264" s="32">
        <v>-592246</v>
      </c>
      <c r="H264" s="30">
        <v>-33797852089</v>
      </c>
      <c r="I264" s="30" t="s">
        <v>740</v>
      </c>
      <c r="J264" s="30" t="s">
        <v>720</v>
      </c>
      <c r="K264" s="30" t="s">
        <v>29</v>
      </c>
      <c r="L264" s="30" t="s">
        <v>194</v>
      </c>
      <c r="M264" s="30" t="s">
        <v>195</v>
      </c>
      <c r="N264" s="30" t="s">
        <v>397</v>
      </c>
      <c r="O264" s="30">
        <v>-406.62</v>
      </c>
      <c r="P264" s="30">
        <v>1456.51</v>
      </c>
      <c r="Q264" s="30" t="s">
        <v>168</v>
      </c>
      <c r="R264" s="30" t="s">
        <v>169</v>
      </c>
      <c r="S264" s="30"/>
      <c r="T264" s="30"/>
      <c r="U264" s="30"/>
      <c r="V264" s="30" t="s">
        <v>172</v>
      </c>
      <c r="W264" s="30" t="s">
        <v>173</v>
      </c>
      <c r="X264" s="30" t="s">
        <v>228</v>
      </c>
      <c r="Y264" s="30" t="s">
        <v>738</v>
      </c>
      <c r="Z264" s="30">
        <v>11</v>
      </c>
      <c r="AA264" s="30" t="s">
        <v>575</v>
      </c>
      <c r="AB264" s="30">
        <v>11</v>
      </c>
      <c r="AC264" s="30" t="s">
        <v>177</v>
      </c>
      <c r="AD264" s="30" t="s">
        <v>178</v>
      </c>
      <c r="AE264" s="30" t="s">
        <v>8</v>
      </c>
      <c r="AF264" s="30" t="s">
        <v>28</v>
      </c>
      <c r="AG264" s="30" t="s">
        <v>29</v>
      </c>
      <c r="AH264" s="30" t="s">
        <v>5</v>
      </c>
      <c r="AI264" s="30"/>
    </row>
    <row r="265" spans="1:35" x14ac:dyDescent="0.3">
      <c r="A265" s="30">
        <v>77</v>
      </c>
      <c r="B265" s="30" t="s">
        <v>569</v>
      </c>
      <c r="C265" s="30" t="s">
        <v>570</v>
      </c>
      <c r="D265" s="31">
        <v>46081</v>
      </c>
      <c r="E265" s="30">
        <v>1114</v>
      </c>
      <c r="F265" s="30">
        <v>0</v>
      </c>
      <c r="G265" s="32">
        <v>-346749</v>
      </c>
      <c r="H265" s="30">
        <v>-33798198838</v>
      </c>
      <c r="I265" s="30" t="s">
        <v>741</v>
      </c>
      <c r="J265" s="30" t="s">
        <v>720</v>
      </c>
      <c r="K265" s="30" t="s">
        <v>29</v>
      </c>
      <c r="L265" s="30" t="s">
        <v>194</v>
      </c>
      <c r="M265" s="30" t="s">
        <v>195</v>
      </c>
      <c r="N265" s="30" t="s">
        <v>667</v>
      </c>
      <c r="O265" s="30">
        <v>-37304.54</v>
      </c>
      <c r="P265" s="30">
        <v>9.2950999999999997</v>
      </c>
      <c r="Q265" s="30" t="s">
        <v>168</v>
      </c>
      <c r="R265" s="30" t="s">
        <v>169</v>
      </c>
      <c r="S265" s="30"/>
      <c r="T265" s="30"/>
      <c r="U265" s="30"/>
      <c r="V265" s="30" t="s">
        <v>172</v>
      </c>
      <c r="W265" s="30" t="s">
        <v>173</v>
      </c>
      <c r="X265" s="30" t="s">
        <v>228</v>
      </c>
      <c r="Y265" s="30" t="s">
        <v>738</v>
      </c>
      <c r="Z265" s="30">
        <v>12</v>
      </c>
      <c r="AA265" s="30" t="s">
        <v>575</v>
      </c>
      <c r="AB265" s="30">
        <v>11</v>
      </c>
      <c r="AC265" s="30" t="s">
        <v>177</v>
      </c>
      <c r="AD265" s="30" t="s">
        <v>178</v>
      </c>
      <c r="AE265" s="30" t="s">
        <v>8</v>
      </c>
      <c r="AF265" s="30" t="s">
        <v>28</v>
      </c>
      <c r="AG265" s="30" t="s">
        <v>29</v>
      </c>
      <c r="AH265" s="30" t="s">
        <v>5</v>
      </c>
      <c r="AI265" s="30"/>
    </row>
    <row r="266" spans="1:35" x14ac:dyDescent="0.3">
      <c r="A266" s="30">
        <v>78</v>
      </c>
      <c r="B266" s="30" t="s">
        <v>569</v>
      </c>
      <c r="C266" s="30" t="s">
        <v>570</v>
      </c>
      <c r="D266" s="31">
        <v>46081</v>
      </c>
      <c r="E266" s="30">
        <v>1029</v>
      </c>
      <c r="F266" s="30">
        <v>0</v>
      </c>
      <c r="G266" s="32">
        <v>755333023</v>
      </c>
      <c r="H266" s="30">
        <v>-33042865815</v>
      </c>
      <c r="I266" s="30" t="s">
        <v>742</v>
      </c>
      <c r="J266" s="30" t="s">
        <v>579</v>
      </c>
      <c r="K266" s="30" t="s">
        <v>580</v>
      </c>
      <c r="L266" s="30" t="s">
        <v>194</v>
      </c>
      <c r="M266" s="30" t="s">
        <v>195</v>
      </c>
      <c r="N266" s="30" t="s">
        <v>397</v>
      </c>
      <c r="O266" s="30">
        <v>521163.72</v>
      </c>
      <c r="P266" s="30">
        <v>1449.32</v>
      </c>
      <c r="Q266" s="30" t="s">
        <v>168</v>
      </c>
      <c r="R266" s="30" t="s">
        <v>169</v>
      </c>
      <c r="S266" s="30"/>
      <c r="T266" s="30"/>
      <c r="U266" s="30"/>
      <c r="V266" s="30" t="s">
        <v>172</v>
      </c>
      <c r="W266" s="30" t="s">
        <v>245</v>
      </c>
      <c r="X266" s="30" t="s">
        <v>189</v>
      </c>
      <c r="Y266" s="30" t="s">
        <v>743</v>
      </c>
      <c r="Z266" s="30">
        <v>5</v>
      </c>
      <c r="AA266" s="30" t="s">
        <v>197</v>
      </c>
      <c r="AB266" s="30">
        <v>11</v>
      </c>
      <c r="AC266" s="30" t="s">
        <v>177</v>
      </c>
      <c r="AD266" s="30" t="s">
        <v>178</v>
      </c>
      <c r="AE266" s="30" t="s">
        <v>8</v>
      </c>
      <c r="AF266" s="30" t="s">
        <v>28</v>
      </c>
      <c r="AG266" s="30" t="s">
        <v>15</v>
      </c>
      <c r="AH266" s="30" t="s">
        <v>5</v>
      </c>
      <c r="AI266" s="30"/>
    </row>
    <row r="267" spans="1:35" x14ac:dyDescent="0.3">
      <c r="A267" s="30">
        <v>79</v>
      </c>
      <c r="B267" s="30" t="s">
        <v>569</v>
      </c>
      <c r="C267" s="30" t="s">
        <v>570</v>
      </c>
      <c r="D267" s="31">
        <v>46081</v>
      </c>
      <c r="E267" s="30">
        <v>1123</v>
      </c>
      <c r="F267" s="30">
        <v>0</v>
      </c>
      <c r="G267" s="32">
        <v>5867060569</v>
      </c>
      <c r="H267" s="30">
        <v>-27175805246</v>
      </c>
      <c r="I267" s="30" t="s">
        <v>744</v>
      </c>
      <c r="J267" s="30" t="s">
        <v>675</v>
      </c>
      <c r="K267" s="30" t="s">
        <v>676</v>
      </c>
      <c r="L267" s="30" t="s">
        <v>194</v>
      </c>
      <c r="M267" s="30" t="s">
        <v>195</v>
      </c>
      <c r="N267" s="30" t="s">
        <v>167</v>
      </c>
      <c r="O267" s="30">
        <v>5867060569</v>
      </c>
      <c r="P267" s="30">
        <v>1</v>
      </c>
      <c r="Q267" s="30" t="s">
        <v>168</v>
      </c>
      <c r="R267" s="30" t="s">
        <v>169</v>
      </c>
      <c r="S267" s="30"/>
      <c r="T267" s="30"/>
      <c r="U267" s="30"/>
      <c r="V267" s="30" t="s">
        <v>172</v>
      </c>
      <c r="W267" s="30" t="s">
        <v>173</v>
      </c>
      <c r="X267" s="30" t="s">
        <v>228</v>
      </c>
      <c r="Y267" s="30" t="s">
        <v>745</v>
      </c>
      <c r="Z267" s="30">
        <v>5</v>
      </c>
      <c r="AA267" s="30" t="s">
        <v>575</v>
      </c>
      <c r="AB267" s="30">
        <v>11</v>
      </c>
      <c r="AC267" s="30" t="s">
        <v>177</v>
      </c>
      <c r="AD267" s="30" t="s">
        <v>178</v>
      </c>
      <c r="AE267" s="30" t="s">
        <v>8</v>
      </c>
      <c r="AF267" s="30" t="s">
        <v>28</v>
      </c>
      <c r="AG267" s="30" t="s">
        <v>10</v>
      </c>
      <c r="AH267" s="30" t="s">
        <v>5</v>
      </c>
      <c r="AI267" s="30"/>
    </row>
    <row r="268" spans="1:35" x14ac:dyDescent="0.3">
      <c r="A268" s="30">
        <v>80</v>
      </c>
      <c r="B268" s="30" t="s">
        <v>569</v>
      </c>
      <c r="C268" s="30" t="s">
        <v>570</v>
      </c>
      <c r="D268" s="31">
        <v>46081</v>
      </c>
      <c r="E268" s="30">
        <v>1123</v>
      </c>
      <c r="F268" s="30">
        <v>0</v>
      </c>
      <c r="G268" s="32">
        <v>925939443</v>
      </c>
      <c r="H268" s="30">
        <v>-26249865803</v>
      </c>
      <c r="I268" s="30" t="s">
        <v>746</v>
      </c>
      <c r="J268" s="30" t="s">
        <v>675</v>
      </c>
      <c r="K268" s="30" t="s">
        <v>676</v>
      </c>
      <c r="L268" s="30" t="s">
        <v>194</v>
      </c>
      <c r="M268" s="30" t="s">
        <v>195</v>
      </c>
      <c r="N268" s="30" t="s">
        <v>167</v>
      </c>
      <c r="O268" s="30">
        <v>925939443</v>
      </c>
      <c r="P268" s="30">
        <v>1</v>
      </c>
      <c r="Q268" s="30" t="s">
        <v>168</v>
      </c>
      <c r="R268" s="30" t="s">
        <v>169</v>
      </c>
      <c r="S268" s="30"/>
      <c r="T268" s="30"/>
      <c r="U268" s="30"/>
      <c r="V268" s="30" t="s">
        <v>172</v>
      </c>
      <c r="W268" s="30" t="s">
        <v>173</v>
      </c>
      <c r="X268" s="30" t="s">
        <v>228</v>
      </c>
      <c r="Y268" s="30" t="s">
        <v>745</v>
      </c>
      <c r="Z268" s="30">
        <v>6</v>
      </c>
      <c r="AA268" s="30" t="s">
        <v>575</v>
      </c>
      <c r="AB268" s="30">
        <v>11</v>
      </c>
      <c r="AC268" s="30" t="s">
        <v>177</v>
      </c>
      <c r="AD268" s="30" t="s">
        <v>178</v>
      </c>
      <c r="AE268" s="30" t="s">
        <v>8</v>
      </c>
      <c r="AF268" s="30" t="s">
        <v>28</v>
      </c>
      <c r="AG268" s="30" t="s">
        <v>10</v>
      </c>
      <c r="AH268" s="30" t="s">
        <v>5</v>
      </c>
      <c r="AI268" s="30"/>
    </row>
    <row r="269" spans="1:35" x14ac:dyDescent="0.3">
      <c r="A269" s="30">
        <v>81</v>
      </c>
      <c r="B269" s="30" t="s">
        <v>569</v>
      </c>
      <c r="C269" s="30" t="s">
        <v>570</v>
      </c>
      <c r="D269" s="31">
        <v>46081</v>
      </c>
      <c r="E269" s="30">
        <v>1123</v>
      </c>
      <c r="F269" s="30">
        <v>0</v>
      </c>
      <c r="G269" s="32">
        <v>7191863074</v>
      </c>
      <c r="H269" s="30">
        <v>-19058002729</v>
      </c>
      <c r="I269" s="30" t="s">
        <v>747</v>
      </c>
      <c r="J269" s="30" t="s">
        <v>675</v>
      </c>
      <c r="K269" s="30" t="s">
        <v>676</v>
      </c>
      <c r="L269" s="30" t="s">
        <v>194</v>
      </c>
      <c r="M269" s="30" t="s">
        <v>195</v>
      </c>
      <c r="N269" s="30" t="s">
        <v>167</v>
      </c>
      <c r="O269" s="30">
        <v>7191863074</v>
      </c>
      <c r="P269" s="30">
        <v>1</v>
      </c>
      <c r="Q269" s="30" t="s">
        <v>168</v>
      </c>
      <c r="R269" s="30" t="s">
        <v>169</v>
      </c>
      <c r="S269" s="30"/>
      <c r="T269" s="30"/>
      <c r="U269" s="30"/>
      <c r="V269" s="30" t="s">
        <v>172</v>
      </c>
      <c r="W269" s="30" t="s">
        <v>173</v>
      </c>
      <c r="X269" s="30" t="s">
        <v>228</v>
      </c>
      <c r="Y269" s="30" t="s">
        <v>745</v>
      </c>
      <c r="Z269" s="30">
        <v>7</v>
      </c>
      <c r="AA269" s="30" t="s">
        <v>575</v>
      </c>
      <c r="AB269" s="30">
        <v>11</v>
      </c>
      <c r="AC269" s="30" t="s">
        <v>177</v>
      </c>
      <c r="AD269" s="30" t="s">
        <v>178</v>
      </c>
      <c r="AE269" s="30" t="s">
        <v>8</v>
      </c>
      <c r="AF269" s="30" t="s">
        <v>28</v>
      </c>
      <c r="AG269" s="30" t="s">
        <v>10</v>
      </c>
      <c r="AH269" s="30" t="s">
        <v>5</v>
      </c>
      <c r="AI269" s="30"/>
    </row>
    <row r="270" spans="1:35" x14ac:dyDescent="0.3">
      <c r="A270" s="30">
        <v>82</v>
      </c>
      <c r="B270" s="30" t="s">
        <v>569</v>
      </c>
      <c r="C270" s="30" t="s">
        <v>570</v>
      </c>
      <c r="D270" s="31">
        <v>46081</v>
      </c>
      <c r="E270" s="30">
        <v>1125</v>
      </c>
      <c r="F270" s="30">
        <v>0</v>
      </c>
      <c r="G270" s="32">
        <v>5848813015</v>
      </c>
      <c r="H270" s="30">
        <v>-13209189714</v>
      </c>
      <c r="I270" s="30" t="s">
        <v>748</v>
      </c>
      <c r="J270" s="30" t="s">
        <v>675</v>
      </c>
      <c r="K270" s="30" t="s">
        <v>676</v>
      </c>
      <c r="L270" s="30" t="s">
        <v>194</v>
      </c>
      <c r="M270" s="30" t="s">
        <v>195</v>
      </c>
      <c r="N270" s="30" t="s">
        <v>167</v>
      </c>
      <c r="O270" s="30">
        <v>5848813015</v>
      </c>
      <c r="P270" s="30">
        <v>1</v>
      </c>
      <c r="Q270" s="30" t="s">
        <v>168</v>
      </c>
      <c r="R270" s="30" t="s">
        <v>169</v>
      </c>
      <c r="S270" s="30"/>
      <c r="T270" s="30"/>
      <c r="U270" s="30"/>
      <c r="V270" s="30" t="s">
        <v>172</v>
      </c>
      <c r="W270" s="30" t="s">
        <v>173</v>
      </c>
      <c r="X270" s="30" t="s">
        <v>228</v>
      </c>
      <c r="Y270" s="30" t="s">
        <v>749</v>
      </c>
      <c r="Z270" s="30">
        <v>5</v>
      </c>
      <c r="AA270" s="30" t="s">
        <v>575</v>
      </c>
      <c r="AB270" s="30">
        <v>11</v>
      </c>
      <c r="AC270" s="30" t="s">
        <v>177</v>
      </c>
      <c r="AD270" s="30" t="s">
        <v>178</v>
      </c>
      <c r="AE270" s="30" t="s">
        <v>8</v>
      </c>
      <c r="AF270" s="30" t="s">
        <v>28</v>
      </c>
      <c r="AG270" s="30" t="s">
        <v>10</v>
      </c>
      <c r="AH270" s="30" t="s">
        <v>5</v>
      </c>
      <c r="AI270" s="30"/>
    </row>
    <row r="271" spans="1:35" x14ac:dyDescent="0.3">
      <c r="A271" s="30">
        <v>83</v>
      </c>
      <c r="B271" s="30" t="s">
        <v>569</v>
      </c>
      <c r="C271" s="30" t="s">
        <v>570</v>
      </c>
      <c r="D271" s="31">
        <v>46081</v>
      </c>
      <c r="E271" s="30">
        <v>1125</v>
      </c>
      <c r="F271" s="30">
        <v>0</v>
      </c>
      <c r="G271" s="32">
        <v>793888706</v>
      </c>
      <c r="H271" s="30">
        <v>-12415301008</v>
      </c>
      <c r="I271" s="30" t="s">
        <v>750</v>
      </c>
      <c r="J271" s="30" t="s">
        <v>675</v>
      </c>
      <c r="K271" s="30" t="s">
        <v>676</v>
      </c>
      <c r="L271" s="30" t="s">
        <v>194</v>
      </c>
      <c r="M271" s="30" t="s">
        <v>195</v>
      </c>
      <c r="N271" s="30" t="s">
        <v>167</v>
      </c>
      <c r="O271" s="30">
        <v>793888706</v>
      </c>
      <c r="P271" s="30">
        <v>1</v>
      </c>
      <c r="Q271" s="30" t="s">
        <v>168</v>
      </c>
      <c r="R271" s="30" t="s">
        <v>169</v>
      </c>
      <c r="S271" s="30"/>
      <c r="T271" s="30"/>
      <c r="U271" s="30"/>
      <c r="V271" s="30" t="s">
        <v>172</v>
      </c>
      <c r="W271" s="30" t="s">
        <v>173</v>
      </c>
      <c r="X271" s="30" t="s">
        <v>228</v>
      </c>
      <c r="Y271" s="30" t="s">
        <v>749</v>
      </c>
      <c r="Z271" s="30">
        <v>6</v>
      </c>
      <c r="AA271" s="30" t="s">
        <v>575</v>
      </c>
      <c r="AB271" s="30">
        <v>11</v>
      </c>
      <c r="AC271" s="30" t="s">
        <v>177</v>
      </c>
      <c r="AD271" s="30" t="s">
        <v>178</v>
      </c>
      <c r="AE271" s="30" t="s">
        <v>8</v>
      </c>
      <c r="AF271" s="30" t="s">
        <v>28</v>
      </c>
      <c r="AG271" s="30" t="s">
        <v>10</v>
      </c>
      <c r="AH271" s="30" t="s">
        <v>5</v>
      </c>
      <c r="AI271" s="30"/>
    </row>
    <row r="272" spans="1:35" x14ac:dyDescent="0.3">
      <c r="A272" s="30">
        <v>84</v>
      </c>
      <c r="B272" s="30" t="s">
        <v>569</v>
      </c>
      <c r="C272" s="30" t="s">
        <v>570</v>
      </c>
      <c r="D272" s="31">
        <v>46081</v>
      </c>
      <c r="E272" s="30">
        <v>1125</v>
      </c>
      <c r="F272" s="30">
        <v>0</v>
      </c>
      <c r="G272" s="32">
        <v>7240800982</v>
      </c>
      <c r="H272" s="30">
        <v>-5174500026</v>
      </c>
      <c r="I272" s="30" t="s">
        <v>751</v>
      </c>
      <c r="J272" s="30" t="s">
        <v>675</v>
      </c>
      <c r="K272" s="30" t="s">
        <v>676</v>
      </c>
      <c r="L272" s="30" t="s">
        <v>194</v>
      </c>
      <c r="M272" s="30" t="s">
        <v>195</v>
      </c>
      <c r="N272" s="30" t="s">
        <v>167</v>
      </c>
      <c r="O272" s="30">
        <v>7240800982</v>
      </c>
      <c r="P272" s="30">
        <v>1</v>
      </c>
      <c r="Q272" s="30" t="s">
        <v>168</v>
      </c>
      <c r="R272" s="30" t="s">
        <v>169</v>
      </c>
      <c r="S272" s="30"/>
      <c r="T272" s="30"/>
      <c r="U272" s="30"/>
      <c r="V272" s="30" t="s">
        <v>172</v>
      </c>
      <c r="W272" s="30" t="s">
        <v>173</v>
      </c>
      <c r="X272" s="30" t="s">
        <v>228</v>
      </c>
      <c r="Y272" s="30" t="s">
        <v>749</v>
      </c>
      <c r="Z272" s="30">
        <v>7</v>
      </c>
      <c r="AA272" s="30" t="s">
        <v>575</v>
      </c>
      <c r="AB272" s="30">
        <v>11</v>
      </c>
      <c r="AC272" s="30" t="s">
        <v>177</v>
      </c>
      <c r="AD272" s="30" t="s">
        <v>178</v>
      </c>
      <c r="AE272" s="30" t="s">
        <v>8</v>
      </c>
      <c r="AF272" s="30" t="s">
        <v>28</v>
      </c>
      <c r="AG272" s="30" t="s">
        <v>10</v>
      </c>
      <c r="AH272" s="30" t="s">
        <v>5</v>
      </c>
      <c r="AI272" s="30"/>
    </row>
    <row r="273" spans="1:35" x14ac:dyDescent="0.3">
      <c r="A273" s="30">
        <v>85</v>
      </c>
      <c r="B273" s="30" t="s">
        <v>569</v>
      </c>
      <c r="C273" s="30" t="s">
        <v>570</v>
      </c>
      <c r="D273" s="31">
        <v>46081</v>
      </c>
      <c r="E273" s="30">
        <v>1122</v>
      </c>
      <c r="F273" s="30">
        <v>0</v>
      </c>
      <c r="G273" s="32">
        <v>4027363386</v>
      </c>
      <c r="H273" s="30">
        <v>-1147136640</v>
      </c>
      <c r="I273" s="30" t="s">
        <v>752</v>
      </c>
      <c r="J273" s="30" t="s">
        <v>572</v>
      </c>
      <c r="K273" s="30" t="s">
        <v>573</v>
      </c>
      <c r="L273" s="30" t="s">
        <v>194</v>
      </c>
      <c r="M273" s="30" t="s">
        <v>195</v>
      </c>
      <c r="N273" s="30" t="s">
        <v>397</v>
      </c>
      <c r="O273" s="30">
        <v>2765077.74</v>
      </c>
      <c r="P273" s="30">
        <v>1456.51</v>
      </c>
      <c r="Q273" s="30" t="s">
        <v>168</v>
      </c>
      <c r="R273" s="30" t="s">
        <v>169</v>
      </c>
      <c r="S273" s="30"/>
      <c r="T273" s="30"/>
      <c r="U273" s="30"/>
      <c r="V273" s="30" t="s">
        <v>172</v>
      </c>
      <c r="W273" s="30" t="s">
        <v>173</v>
      </c>
      <c r="X273" s="30" t="s">
        <v>228</v>
      </c>
      <c r="Y273" s="30" t="s">
        <v>753</v>
      </c>
      <c r="Z273" s="30">
        <v>7</v>
      </c>
      <c r="AA273" s="30" t="s">
        <v>575</v>
      </c>
      <c r="AB273" s="30">
        <v>11</v>
      </c>
      <c r="AC273" s="30" t="s">
        <v>177</v>
      </c>
      <c r="AD273" s="30" t="s">
        <v>178</v>
      </c>
      <c r="AE273" s="30" t="s">
        <v>8</v>
      </c>
      <c r="AF273" s="30" t="s">
        <v>28</v>
      </c>
      <c r="AG273" s="30" t="s">
        <v>9</v>
      </c>
      <c r="AH273" s="30" t="s">
        <v>5</v>
      </c>
      <c r="AI273" s="30"/>
    </row>
    <row r="274" spans="1:35" x14ac:dyDescent="0.3">
      <c r="A274" s="30">
        <v>86</v>
      </c>
      <c r="B274" s="30" t="s">
        <v>569</v>
      </c>
      <c r="C274" s="30" t="s">
        <v>570</v>
      </c>
      <c r="D274" s="31">
        <v>46081</v>
      </c>
      <c r="E274" s="30">
        <v>1122</v>
      </c>
      <c r="F274" s="30">
        <v>0</v>
      </c>
      <c r="G274" s="32">
        <v>2450120874</v>
      </c>
      <c r="H274" s="30">
        <v>1302984234</v>
      </c>
      <c r="I274" s="30" t="s">
        <v>754</v>
      </c>
      <c r="J274" s="30" t="s">
        <v>572</v>
      </c>
      <c r="K274" s="30" t="s">
        <v>573</v>
      </c>
      <c r="L274" s="30" t="s">
        <v>194</v>
      </c>
      <c r="M274" s="30" t="s">
        <v>195</v>
      </c>
      <c r="N274" s="30" t="s">
        <v>397</v>
      </c>
      <c r="O274" s="30">
        <v>1682186.1</v>
      </c>
      <c r="P274" s="30">
        <v>1456.51</v>
      </c>
      <c r="Q274" s="30" t="s">
        <v>168</v>
      </c>
      <c r="R274" s="30" t="s">
        <v>169</v>
      </c>
      <c r="S274" s="30"/>
      <c r="T274" s="30"/>
      <c r="U274" s="30"/>
      <c r="V274" s="30" t="s">
        <v>172</v>
      </c>
      <c r="W274" s="30" t="s">
        <v>173</v>
      </c>
      <c r="X274" s="30" t="s">
        <v>228</v>
      </c>
      <c r="Y274" s="30" t="s">
        <v>753</v>
      </c>
      <c r="Z274" s="30">
        <v>8</v>
      </c>
      <c r="AA274" s="30" t="s">
        <v>575</v>
      </c>
      <c r="AB274" s="30">
        <v>11</v>
      </c>
      <c r="AC274" s="30" t="s">
        <v>177</v>
      </c>
      <c r="AD274" s="30" t="s">
        <v>178</v>
      </c>
      <c r="AE274" s="30" t="s">
        <v>8</v>
      </c>
      <c r="AF274" s="30" t="s">
        <v>28</v>
      </c>
      <c r="AG274" s="30" t="s">
        <v>9</v>
      </c>
      <c r="AH274" s="30" t="s">
        <v>5</v>
      </c>
      <c r="AI274" s="30"/>
    </row>
    <row r="275" spans="1:35" x14ac:dyDescent="0.3">
      <c r="A275" s="30">
        <v>87</v>
      </c>
      <c r="B275" s="30" t="s">
        <v>569</v>
      </c>
      <c r="C275" s="30" t="s">
        <v>570</v>
      </c>
      <c r="D275" s="31">
        <v>46081</v>
      </c>
      <c r="E275" s="30">
        <v>1122</v>
      </c>
      <c r="F275" s="30">
        <v>0</v>
      </c>
      <c r="G275" s="32">
        <v>12925027009</v>
      </c>
      <c r="H275" s="30">
        <v>14228011243</v>
      </c>
      <c r="I275" s="30" t="s">
        <v>755</v>
      </c>
      <c r="J275" s="30" t="s">
        <v>572</v>
      </c>
      <c r="K275" s="30" t="s">
        <v>573</v>
      </c>
      <c r="L275" s="30" t="s">
        <v>194</v>
      </c>
      <c r="M275" s="30" t="s">
        <v>195</v>
      </c>
      <c r="N275" s="30" t="s">
        <v>397</v>
      </c>
      <c r="O275" s="30">
        <v>8873970.6600000001</v>
      </c>
      <c r="P275" s="30">
        <v>1456.51</v>
      </c>
      <c r="Q275" s="30" t="s">
        <v>168</v>
      </c>
      <c r="R275" s="30" t="s">
        <v>169</v>
      </c>
      <c r="S275" s="30"/>
      <c r="T275" s="30"/>
      <c r="U275" s="30"/>
      <c r="V275" s="30" t="s">
        <v>172</v>
      </c>
      <c r="W275" s="30" t="s">
        <v>173</v>
      </c>
      <c r="X275" s="30" t="s">
        <v>228</v>
      </c>
      <c r="Y275" s="30" t="s">
        <v>753</v>
      </c>
      <c r="Z275" s="30">
        <v>9</v>
      </c>
      <c r="AA275" s="30" t="s">
        <v>575</v>
      </c>
      <c r="AB275" s="30">
        <v>11</v>
      </c>
      <c r="AC275" s="30" t="s">
        <v>177</v>
      </c>
      <c r="AD275" s="30" t="s">
        <v>178</v>
      </c>
      <c r="AE275" s="30" t="s">
        <v>8</v>
      </c>
      <c r="AF275" s="30" t="s">
        <v>28</v>
      </c>
      <c r="AG275" s="30" t="s">
        <v>9</v>
      </c>
      <c r="AH275" s="30" t="s">
        <v>5</v>
      </c>
      <c r="AI275" s="30"/>
    </row>
    <row r="276" spans="1:35" x14ac:dyDescent="0.3">
      <c r="A276" s="30">
        <v>88</v>
      </c>
      <c r="B276" s="30" t="s">
        <v>569</v>
      </c>
      <c r="C276" s="30" t="s">
        <v>570</v>
      </c>
      <c r="D276" s="31">
        <v>46081</v>
      </c>
      <c r="E276" s="30">
        <v>1117</v>
      </c>
      <c r="F276" s="30">
        <v>0</v>
      </c>
      <c r="G276" s="32">
        <v>973620040</v>
      </c>
      <c r="H276" s="30">
        <v>15201631283</v>
      </c>
      <c r="I276" s="30" t="s">
        <v>756</v>
      </c>
      <c r="J276" s="30" t="s">
        <v>689</v>
      </c>
      <c r="K276" s="30" t="s">
        <v>690</v>
      </c>
      <c r="L276" s="30" t="s">
        <v>194</v>
      </c>
      <c r="M276" s="30" t="s">
        <v>195</v>
      </c>
      <c r="N276" s="30" t="s">
        <v>397</v>
      </c>
      <c r="O276" s="30">
        <v>668460.93999999994</v>
      </c>
      <c r="P276" s="30">
        <v>1456.51</v>
      </c>
      <c r="Q276" s="30" t="s">
        <v>168</v>
      </c>
      <c r="R276" s="30" t="s">
        <v>169</v>
      </c>
      <c r="S276" s="30"/>
      <c r="T276" s="30"/>
      <c r="U276" s="30"/>
      <c r="V276" s="30" t="s">
        <v>172</v>
      </c>
      <c r="W276" s="30" t="s">
        <v>173</v>
      </c>
      <c r="X276" s="30" t="s">
        <v>228</v>
      </c>
      <c r="Y276" s="30" t="s">
        <v>757</v>
      </c>
      <c r="Z276" s="30">
        <v>5</v>
      </c>
      <c r="AA276" s="30" t="s">
        <v>575</v>
      </c>
      <c r="AB276" s="30">
        <v>11</v>
      </c>
      <c r="AC276" s="30" t="s">
        <v>177</v>
      </c>
      <c r="AD276" s="30" t="s">
        <v>178</v>
      </c>
      <c r="AE276" s="30" t="s">
        <v>8</v>
      </c>
      <c r="AF276" s="30" t="s">
        <v>28</v>
      </c>
      <c r="AG276" s="30" t="s">
        <v>13</v>
      </c>
      <c r="AH276" s="30" t="s">
        <v>5</v>
      </c>
      <c r="AI276" s="30"/>
    </row>
    <row r="277" spans="1:35" x14ac:dyDescent="0.3">
      <c r="A277" s="30">
        <v>89</v>
      </c>
      <c r="B277" s="30" t="s">
        <v>569</v>
      </c>
      <c r="C277" s="30" t="s">
        <v>570</v>
      </c>
      <c r="D277" s="31">
        <v>46081</v>
      </c>
      <c r="E277" s="30">
        <v>199</v>
      </c>
      <c r="F277" s="30">
        <v>0</v>
      </c>
      <c r="G277" s="32">
        <v>764587</v>
      </c>
      <c r="H277" s="30">
        <v>15202395870</v>
      </c>
      <c r="I277" s="30" t="s">
        <v>758</v>
      </c>
      <c r="J277" s="30" t="s">
        <v>299</v>
      </c>
      <c r="K277" s="30" t="s">
        <v>300</v>
      </c>
      <c r="L277" s="30" t="s">
        <v>211</v>
      </c>
      <c r="M277" s="30" t="s">
        <v>212</v>
      </c>
      <c r="N277" s="30" t="s">
        <v>167</v>
      </c>
      <c r="O277" s="30">
        <v>764587</v>
      </c>
      <c r="P277" s="30">
        <v>1</v>
      </c>
      <c r="Q277" s="30" t="s">
        <v>583</v>
      </c>
      <c r="R277" s="30" t="s">
        <v>584</v>
      </c>
      <c r="S277" s="30" t="s">
        <v>170</v>
      </c>
      <c r="T277" s="30" t="s">
        <v>171</v>
      </c>
      <c r="U277" s="30" t="s">
        <v>570</v>
      </c>
      <c r="V277" s="30" t="s">
        <v>172</v>
      </c>
      <c r="W277" s="30" t="s">
        <v>245</v>
      </c>
      <c r="X277" s="30" t="s">
        <v>189</v>
      </c>
      <c r="Y277" s="30" t="s">
        <v>759</v>
      </c>
      <c r="Z277" s="30">
        <v>1</v>
      </c>
      <c r="AA277" s="30" t="s">
        <v>176</v>
      </c>
      <c r="AB277" s="30">
        <v>11</v>
      </c>
      <c r="AC277" s="30" t="s">
        <v>177</v>
      </c>
      <c r="AD277" s="30" t="s">
        <v>178</v>
      </c>
      <c r="AE277" s="30" t="s">
        <v>8</v>
      </c>
      <c r="AF277" s="30" t="s">
        <v>28</v>
      </c>
      <c r="AG277" s="30" t="s">
        <v>32</v>
      </c>
      <c r="AH277" s="30" t="s">
        <v>5</v>
      </c>
      <c r="AI277" s="30"/>
    </row>
    <row r="278" spans="1:35" x14ac:dyDescent="0.3">
      <c r="A278" s="30">
        <v>90</v>
      </c>
      <c r="B278" s="30" t="s">
        <v>569</v>
      </c>
      <c r="C278" s="30" t="s">
        <v>570</v>
      </c>
      <c r="D278" s="31">
        <v>46081</v>
      </c>
      <c r="E278" s="30">
        <v>200</v>
      </c>
      <c r="F278" s="30">
        <v>0</v>
      </c>
      <c r="G278" s="32">
        <v>29677546</v>
      </c>
      <c r="H278" s="30">
        <v>15232073416</v>
      </c>
      <c r="I278" s="30" t="s">
        <v>760</v>
      </c>
      <c r="J278" s="30" t="s">
        <v>163</v>
      </c>
      <c r="K278" s="30" t="s">
        <v>164</v>
      </c>
      <c r="L278" s="30" t="s">
        <v>211</v>
      </c>
      <c r="M278" s="30" t="s">
        <v>212</v>
      </c>
      <c r="N278" s="30" t="s">
        <v>167</v>
      </c>
      <c r="O278" s="30">
        <v>29677546</v>
      </c>
      <c r="P278" s="30">
        <v>1</v>
      </c>
      <c r="Q278" s="30" t="s">
        <v>650</v>
      </c>
      <c r="R278" s="30" t="s">
        <v>651</v>
      </c>
      <c r="S278" s="30" t="s">
        <v>170</v>
      </c>
      <c r="T278" s="30" t="s">
        <v>171</v>
      </c>
      <c r="U278" s="30" t="s">
        <v>570</v>
      </c>
      <c r="V278" s="30" t="s">
        <v>172</v>
      </c>
      <c r="W278" s="30" t="s">
        <v>245</v>
      </c>
      <c r="X278" s="30" t="s">
        <v>189</v>
      </c>
      <c r="Y278" s="30" t="s">
        <v>761</v>
      </c>
      <c r="Z278" s="30">
        <v>1</v>
      </c>
      <c r="AA278" s="30" t="s">
        <v>176</v>
      </c>
      <c r="AB278" s="30">
        <v>11</v>
      </c>
      <c r="AC278" s="30" t="s">
        <v>177</v>
      </c>
      <c r="AD278" s="30" t="s">
        <v>178</v>
      </c>
      <c r="AE278" s="30" t="s">
        <v>8</v>
      </c>
      <c r="AF278" s="30" t="s">
        <v>28</v>
      </c>
      <c r="AG278" s="30" t="s">
        <v>37</v>
      </c>
      <c r="AH278" s="30" t="s">
        <v>5</v>
      </c>
      <c r="AI278" s="30"/>
    </row>
    <row r="279" spans="1:35" x14ac:dyDescent="0.3">
      <c r="A279" s="30">
        <v>91</v>
      </c>
      <c r="B279" s="30" t="s">
        <v>569</v>
      </c>
      <c r="C279" s="30" t="s">
        <v>570</v>
      </c>
      <c r="D279" s="31">
        <v>46081</v>
      </c>
      <c r="E279" s="30">
        <v>201</v>
      </c>
      <c r="F279" s="30">
        <v>0</v>
      </c>
      <c r="G279" s="32">
        <v>30092205</v>
      </c>
      <c r="H279" s="30">
        <v>15262165621</v>
      </c>
      <c r="I279" s="30" t="s">
        <v>762</v>
      </c>
      <c r="J279" s="30" t="s">
        <v>299</v>
      </c>
      <c r="K279" s="30" t="s">
        <v>300</v>
      </c>
      <c r="L279" s="30" t="s">
        <v>211</v>
      </c>
      <c r="M279" s="30" t="s">
        <v>212</v>
      </c>
      <c r="N279" s="30" t="s">
        <v>167</v>
      </c>
      <c r="O279" s="30">
        <v>30092205</v>
      </c>
      <c r="P279" s="30">
        <v>1</v>
      </c>
      <c r="Q279" s="30" t="s">
        <v>301</v>
      </c>
      <c r="R279" s="30" t="s">
        <v>302</v>
      </c>
      <c r="S279" s="30" t="s">
        <v>170</v>
      </c>
      <c r="T279" s="30" t="s">
        <v>171</v>
      </c>
      <c r="U279" s="30" t="s">
        <v>570</v>
      </c>
      <c r="V279" s="30" t="s">
        <v>172</v>
      </c>
      <c r="W279" s="30" t="s">
        <v>245</v>
      </c>
      <c r="X279" s="30" t="s">
        <v>189</v>
      </c>
      <c r="Y279" s="30" t="s">
        <v>763</v>
      </c>
      <c r="Z279" s="30">
        <v>1</v>
      </c>
      <c r="AA279" s="30" t="s">
        <v>176</v>
      </c>
      <c r="AB279" s="30">
        <v>11</v>
      </c>
      <c r="AC279" s="30" t="s">
        <v>177</v>
      </c>
      <c r="AD279" s="30" t="s">
        <v>178</v>
      </c>
      <c r="AE279" s="30" t="s">
        <v>8</v>
      </c>
      <c r="AF279" s="30" t="s">
        <v>28</v>
      </c>
      <c r="AG279" s="30" t="s">
        <v>32</v>
      </c>
      <c r="AH279" s="30" t="s">
        <v>5</v>
      </c>
      <c r="AI279" s="30"/>
    </row>
    <row r="280" spans="1:35" x14ac:dyDescent="0.3">
      <c r="A280" s="30">
        <v>92</v>
      </c>
      <c r="B280" s="30" t="s">
        <v>569</v>
      </c>
      <c r="C280" s="30" t="s">
        <v>570</v>
      </c>
      <c r="D280" s="31">
        <v>46081</v>
      </c>
      <c r="E280" s="30">
        <v>978</v>
      </c>
      <c r="F280" s="30">
        <v>0</v>
      </c>
      <c r="G280" s="32">
        <v>104079637</v>
      </c>
      <c r="H280" s="30">
        <v>15366245258</v>
      </c>
      <c r="I280" s="30" t="s">
        <v>764</v>
      </c>
      <c r="J280" s="30" t="s">
        <v>587</v>
      </c>
      <c r="K280" s="30" t="s">
        <v>588</v>
      </c>
      <c r="L280" s="30" t="s">
        <v>194</v>
      </c>
      <c r="M280" s="30" t="s">
        <v>195</v>
      </c>
      <c r="N280" s="30" t="s">
        <v>167</v>
      </c>
      <c r="O280" s="30">
        <v>104079637</v>
      </c>
      <c r="P280" s="30">
        <v>1</v>
      </c>
      <c r="Q280" s="30" t="s">
        <v>168</v>
      </c>
      <c r="R280" s="30" t="s">
        <v>169</v>
      </c>
      <c r="S280" s="30"/>
      <c r="T280" s="30"/>
      <c r="U280" s="30"/>
      <c r="V280" s="30" t="s">
        <v>172</v>
      </c>
      <c r="W280" s="30" t="s">
        <v>173</v>
      </c>
      <c r="X280" s="30" t="s">
        <v>589</v>
      </c>
      <c r="Y280" s="30" t="s">
        <v>765</v>
      </c>
      <c r="Z280" s="30">
        <v>83</v>
      </c>
      <c r="AA280" s="30" t="s">
        <v>575</v>
      </c>
      <c r="AB280" s="30">
        <v>11</v>
      </c>
      <c r="AC280" s="30" t="s">
        <v>177</v>
      </c>
      <c r="AD280" s="30" t="s">
        <v>178</v>
      </c>
      <c r="AE280" s="30" t="s">
        <v>8</v>
      </c>
      <c r="AF280" s="30" t="s">
        <v>38</v>
      </c>
      <c r="AG280" s="30" t="s">
        <v>14</v>
      </c>
      <c r="AH280" s="30" t="s">
        <v>5</v>
      </c>
      <c r="AI280" s="30"/>
    </row>
    <row r="281" spans="1:35" x14ac:dyDescent="0.3">
      <c r="A281" s="30">
        <v>93</v>
      </c>
      <c r="B281" s="30" t="s">
        <v>569</v>
      </c>
      <c r="C281" s="30" t="s">
        <v>570</v>
      </c>
      <c r="D281" s="31">
        <v>46081</v>
      </c>
      <c r="E281" s="30">
        <v>978</v>
      </c>
      <c r="F281" s="30">
        <v>0</v>
      </c>
      <c r="G281" s="32">
        <v>492985455</v>
      </c>
      <c r="H281" s="30">
        <v>15859230713</v>
      </c>
      <c r="I281" s="30" t="s">
        <v>766</v>
      </c>
      <c r="J281" s="30" t="s">
        <v>587</v>
      </c>
      <c r="K281" s="30" t="s">
        <v>588</v>
      </c>
      <c r="L281" s="30" t="s">
        <v>194</v>
      </c>
      <c r="M281" s="30" t="s">
        <v>195</v>
      </c>
      <c r="N281" s="30" t="s">
        <v>167</v>
      </c>
      <c r="O281" s="30">
        <v>492985455</v>
      </c>
      <c r="P281" s="30">
        <v>1</v>
      </c>
      <c r="Q281" s="30" t="s">
        <v>168</v>
      </c>
      <c r="R281" s="30" t="s">
        <v>169</v>
      </c>
      <c r="S281" s="30"/>
      <c r="T281" s="30"/>
      <c r="U281" s="30"/>
      <c r="V281" s="30" t="s">
        <v>172</v>
      </c>
      <c r="W281" s="30" t="s">
        <v>173</v>
      </c>
      <c r="X281" s="30" t="s">
        <v>589</v>
      </c>
      <c r="Y281" s="30" t="s">
        <v>765</v>
      </c>
      <c r="Z281" s="30">
        <v>84</v>
      </c>
      <c r="AA281" s="30" t="s">
        <v>575</v>
      </c>
      <c r="AB281" s="30">
        <v>11</v>
      </c>
      <c r="AC281" s="30" t="s">
        <v>177</v>
      </c>
      <c r="AD281" s="30" t="s">
        <v>178</v>
      </c>
      <c r="AE281" s="30" t="s">
        <v>8</v>
      </c>
      <c r="AF281" s="30" t="s">
        <v>38</v>
      </c>
      <c r="AG281" s="30" t="s">
        <v>14</v>
      </c>
      <c r="AH281" s="30" t="s">
        <v>5</v>
      </c>
      <c r="AI281" s="30"/>
    </row>
    <row r="282" spans="1:35" x14ac:dyDescent="0.3">
      <c r="A282" s="30">
        <v>94</v>
      </c>
      <c r="B282" s="30" t="s">
        <v>569</v>
      </c>
      <c r="C282" s="30" t="s">
        <v>570</v>
      </c>
      <c r="D282" s="31">
        <v>46081</v>
      </c>
      <c r="E282" s="30">
        <v>978</v>
      </c>
      <c r="F282" s="30">
        <v>0</v>
      </c>
      <c r="G282" s="32">
        <v>119386182</v>
      </c>
      <c r="H282" s="30">
        <v>15978616895</v>
      </c>
      <c r="I282" s="30" t="s">
        <v>767</v>
      </c>
      <c r="J282" s="30" t="s">
        <v>587</v>
      </c>
      <c r="K282" s="30" t="s">
        <v>588</v>
      </c>
      <c r="L282" s="30" t="s">
        <v>194</v>
      </c>
      <c r="M282" s="30" t="s">
        <v>195</v>
      </c>
      <c r="N282" s="30" t="s">
        <v>167</v>
      </c>
      <c r="O282" s="30">
        <v>119386182</v>
      </c>
      <c r="P282" s="30">
        <v>1</v>
      </c>
      <c r="Q282" s="30" t="s">
        <v>168</v>
      </c>
      <c r="R282" s="30" t="s">
        <v>169</v>
      </c>
      <c r="S282" s="30"/>
      <c r="T282" s="30"/>
      <c r="U282" s="30"/>
      <c r="V282" s="30" t="s">
        <v>172</v>
      </c>
      <c r="W282" s="30" t="s">
        <v>173</v>
      </c>
      <c r="X282" s="30" t="s">
        <v>589</v>
      </c>
      <c r="Y282" s="30" t="s">
        <v>765</v>
      </c>
      <c r="Z282" s="30">
        <v>85</v>
      </c>
      <c r="AA282" s="30" t="s">
        <v>575</v>
      </c>
      <c r="AB282" s="30">
        <v>11</v>
      </c>
      <c r="AC282" s="30" t="s">
        <v>177</v>
      </c>
      <c r="AD282" s="30" t="s">
        <v>178</v>
      </c>
      <c r="AE282" s="30" t="s">
        <v>8</v>
      </c>
      <c r="AF282" s="30" t="s">
        <v>38</v>
      </c>
      <c r="AG282" s="30" t="s">
        <v>14</v>
      </c>
      <c r="AH282" s="30" t="s">
        <v>5</v>
      </c>
      <c r="AI282" s="30"/>
    </row>
    <row r="283" spans="1:35" x14ac:dyDescent="0.3">
      <c r="A283" s="30">
        <v>95</v>
      </c>
      <c r="B283" s="30" t="s">
        <v>569</v>
      </c>
      <c r="C283" s="30" t="s">
        <v>570</v>
      </c>
      <c r="D283" s="31">
        <v>46081</v>
      </c>
      <c r="E283" s="30">
        <v>978</v>
      </c>
      <c r="F283" s="30">
        <v>0</v>
      </c>
      <c r="G283" s="32">
        <v>400910</v>
      </c>
      <c r="H283" s="30">
        <v>15979017805</v>
      </c>
      <c r="I283" s="30" t="s">
        <v>768</v>
      </c>
      <c r="J283" s="30" t="s">
        <v>587</v>
      </c>
      <c r="K283" s="30" t="s">
        <v>588</v>
      </c>
      <c r="L283" s="30" t="s">
        <v>194</v>
      </c>
      <c r="M283" s="30" t="s">
        <v>195</v>
      </c>
      <c r="N283" s="30" t="s">
        <v>167</v>
      </c>
      <c r="O283" s="30">
        <v>400910</v>
      </c>
      <c r="P283" s="30">
        <v>1</v>
      </c>
      <c r="Q283" s="30" t="s">
        <v>168</v>
      </c>
      <c r="R283" s="30" t="s">
        <v>169</v>
      </c>
      <c r="S283" s="30"/>
      <c r="T283" s="30"/>
      <c r="U283" s="30"/>
      <c r="V283" s="30" t="s">
        <v>172</v>
      </c>
      <c r="W283" s="30" t="s">
        <v>173</v>
      </c>
      <c r="X283" s="30" t="s">
        <v>589</v>
      </c>
      <c r="Y283" s="30" t="s">
        <v>765</v>
      </c>
      <c r="Z283" s="30">
        <v>86</v>
      </c>
      <c r="AA283" s="30" t="s">
        <v>575</v>
      </c>
      <c r="AB283" s="30">
        <v>11</v>
      </c>
      <c r="AC283" s="30" t="s">
        <v>177</v>
      </c>
      <c r="AD283" s="30" t="s">
        <v>178</v>
      </c>
      <c r="AE283" s="30" t="s">
        <v>8</v>
      </c>
      <c r="AF283" s="30" t="s">
        <v>38</v>
      </c>
      <c r="AG283" s="30" t="s">
        <v>14</v>
      </c>
      <c r="AH283" s="30" t="s">
        <v>5</v>
      </c>
      <c r="AI283" s="30"/>
    </row>
    <row r="284" spans="1:35" x14ac:dyDescent="0.3">
      <c r="A284" s="30">
        <v>96</v>
      </c>
      <c r="B284" s="30" t="s">
        <v>569</v>
      </c>
      <c r="C284" s="30" t="s">
        <v>570</v>
      </c>
      <c r="D284" s="31">
        <v>46081</v>
      </c>
      <c r="E284" s="30">
        <v>978</v>
      </c>
      <c r="F284" s="30">
        <v>0</v>
      </c>
      <c r="G284" s="32">
        <v>28453637</v>
      </c>
      <c r="H284" s="30">
        <v>16007471442</v>
      </c>
      <c r="I284" s="30" t="s">
        <v>769</v>
      </c>
      <c r="J284" s="30" t="s">
        <v>587</v>
      </c>
      <c r="K284" s="30" t="s">
        <v>588</v>
      </c>
      <c r="L284" s="30" t="s">
        <v>194</v>
      </c>
      <c r="M284" s="30" t="s">
        <v>195</v>
      </c>
      <c r="N284" s="30" t="s">
        <v>167</v>
      </c>
      <c r="O284" s="30">
        <v>28453637</v>
      </c>
      <c r="P284" s="30">
        <v>1</v>
      </c>
      <c r="Q284" s="30" t="s">
        <v>168</v>
      </c>
      <c r="R284" s="30" t="s">
        <v>169</v>
      </c>
      <c r="S284" s="30"/>
      <c r="T284" s="30"/>
      <c r="U284" s="30"/>
      <c r="V284" s="30" t="s">
        <v>172</v>
      </c>
      <c r="W284" s="30" t="s">
        <v>173</v>
      </c>
      <c r="X284" s="30" t="s">
        <v>589</v>
      </c>
      <c r="Y284" s="30" t="s">
        <v>765</v>
      </c>
      <c r="Z284" s="30">
        <v>87</v>
      </c>
      <c r="AA284" s="30" t="s">
        <v>575</v>
      </c>
      <c r="AB284" s="30">
        <v>11</v>
      </c>
      <c r="AC284" s="30" t="s">
        <v>177</v>
      </c>
      <c r="AD284" s="30" t="s">
        <v>178</v>
      </c>
      <c r="AE284" s="30" t="s">
        <v>8</v>
      </c>
      <c r="AF284" s="30" t="s">
        <v>38</v>
      </c>
      <c r="AG284" s="30" t="s">
        <v>14</v>
      </c>
      <c r="AH284" s="30" t="s">
        <v>5</v>
      </c>
      <c r="AI284" s="30"/>
    </row>
    <row r="285" spans="1:35" x14ac:dyDescent="0.3">
      <c r="A285" s="30">
        <v>97</v>
      </c>
      <c r="B285" s="30" t="s">
        <v>569</v>
      </c>
      <c r="C285" s="30" t="s">
        <v>570</v>
      </c>
      <c r="D285" s="31">
        <v>46081</v>
      </c>
      <c r="E285" s="30">
        <v>978</v>
      </c>
      <c r="F285" s="30">
        <v>0</v>
      </c>
      <c r="G285" s="32">
        <v>13661364</v>
      </c>
      <c r="H285" s="30">
        <v>16021132806</v>
      </c>
      <c r="I285" s="30" t="s">
        <v>770</v>
      </c>
      <c r="J285" s="30" t="s">
        <v>587</v>
      </c>
      <c r="K285" s="30" t="s">
        <v>588</v>
      </c>
      <c r="L285" s="30" t="s">
        <v>194</v>
      </c>
      <c r="M285" s="30" t="s">
        <v>195</v>
      </c>
      <c r="N285" s="30" t="s">
        <v>167</v>
      </c>
      <c r="O285" s="30">
        <v>13661364</v>
      </c>
      <c r="P285" s="30">
        <v>1</v>
      </c>
      <c r="Q285" s="30" t="s">
        <v>168</v>
      </c>
      <c r="R285" s="30" t="s">
        <v>169</v>
      </c>
      <c r="S285" s="30"/>
      <c r="T285" s="30"/>
      <c r="U285" s="30"/>
      <c r="V285" s="30" t="s">
        <v>172</v>
      </c>
      <c r="W285" s="30" t="s">
        <v>173</v>
      </c>
      <c r="X285" s="30" t="s">
        <v>589</v>
      </c>
      <c r="Y285" s="30" t="s">
        <v>765</v>
      </c>
      <c r="Z285" s="30">
        <v>88</v>
      </c>
      <c r="AA285" s="30" t="s">
        <v>575</v>
      </c>
      <c r="AB285" s="30">
        <v>11</v>
      </c>
      <c r="AC285" s="30" t="s">
        <v>177</v>
      </c>
      <c r="AD285" s="30" t="s">
        <v>178</v>
      </c>
      <c r="AE285" s="30" t="s">
        <v>8</v>
      </c>
      <c r="AF285" s="30" t="s">
        <v>38</v>
      </c>
      <c r="AG285" s="30" t="s">
        <v>14</v>
      </c>
      <c r="AH285" s="30" t="s">
        <v>5</v>
      </c>
      <c r="AI285" s="30"/>
    </row>
    <row r="286" spans="1:35" x14ac:dyDescent="0.3">
      <c r="A286" s="30">
        <v>98</v>
      </c>
      <c r="B286" s="30" t="s">
        <v>569</v>
      </c>
      <c r="C286" s="30" t="s">
        <v>570</v>
      </c>
      <c r="D286" s="31">
        <v>46081</v>
      </c>
      <c r="E286" s="30">
        <v>978</v>
      </c>
      <c r="F286" s="30">
        <v>0</v>
      </c>
      <c r="G286" s="32">
        <v>650000</v>
      </c>
      <c r="H286" s="30">
        <v>16021782806</v>
      </c>
      <c r="I286" s="30" t="s">
        <v>771</v>
      </c>
      <c r="J286" s="30" t="s">
        <v>587</v>
      </c>
      <c r="K286" s="30" t="s">
        <v>588</v>
      </c>
      <c r="L286" s="30" t="s">
        <v>194</v>
      </c>
      <c r="M286" s="30" t="s">
        <v>195</v>
      </c>
      <c r="N286" s="30" t="s">
        <v>167</v>
      </c>
      <c r="O286" s="30">
        <v>650000</v>
      </c>
      <c r="P286" s="30">
        <v>1</v>
      </c>
      <c r="Q286" s="30" t="s">
        <v>168</v>
      </c>
      <c r="R286" s="30" t="s">
        <v>169</v>
      </c>
      <c r="S286" s="30"/>
      <c r="T286" s="30"/>
      <c r="U286" s="30"/>
      <c r="V286" s="30" t="s">
        <v>172</v>
      </c>
      <c r="W286" s="30" t="s">
        <v>173</v>
      </c>
      <c r="X286" s="30" t="s">
        <v>589</v>
      </c>
      <c r="Y286" s="30" t="s">
        <v>765</v>
      </c>
      <c r="Z286" s="30">
        <v>89</v>
      </c>
      <c r="AA286" s="30" t="s">
        <v>575</v>
      </c>
      <c r="AB286" s="30">
        <v>11</v>
      </c>
      <c r="AC286" s="30" t="s">
        <v>177</v>
      </c>
      <c r="AD286" s="30" t="s">
        <v>178</v>
      </c>
      <c r="AE286" s="30" t="s">
        <v>8</v>
      </c>
      <c r="AF286" s="30" t="s">
        <v>38</v>
      </c>
      <c r="AG286" s="30" t="s">
        <v>14</v>
      </c>
      <c r="AH286" s="30" t="s">
        <v>5</v>
      </c>
      <c r="AI286" s="30"/>
    </row>
    <row r="287" spans="1:35" x14ac:dyDescent="0.3">
      <c r="A287" s="30">
        <v>99</v>
      </c>
      <c r="B287" s="30" t="s">
        <v>569</v>
      </c>
      <c r="C287" s="30" t="s">
        <v>570</v>
      </c>
      <c r="D287" s="31">
        <v>46081</v>
      </c>
      <c r="E287" s="30">
        <v>978</v>
      </c>
      <c r="F287" s="30">
        <v>0</v>
      </c>
      <c r="G287" s="32">
        <v>236362728</v>
      </c>
      <c r="H287" s="30">
        <v>16258145534</v>
      </c>
      <c r="I287" s="30" t="s">
        <v>772</v>
      </c>
      <c r="J287" s="30" t="s">
        <v>587</v>
      </c>
      <c r="K287" s="30" t="s">
        <v>588</v>
      </c>
      <c r="L287" s="30" t="s">
        <v>194</v>
      </c>
      <c r="M287" s="30" t="s">
        <v>195</v>
      </c>
      <c r="N287" s="30" t="s">
        <v>167</v>
      </c>
      <c r="O287" s="30">
        <v>236362728</v>
      </c>
      <c r="P287" s="30">
        <v>1</v>
      </c>
      <c r="Q287" s="30" t="s">
        <v>168</v>
      </c>
      <c r="R287" s="30" t="s">
        <v>169</v>
      </c>
      <c r="S287" s="30"/>
      <c r="T287" s="30"/>
      <c r="U287" s="30"/>
      <c r="V287" s="30" t="s">
        <v>172</v>
      </c>
      <c r="W287" s="30" t="s">
        <v>173</v>
      </c>
      <c r="X287" s="30" t="s">
        <v>589</v>
      </c>
      <c r="Y287" s="30" t="s">
        <v>765</v>
      </c>
      <c r="Z287" s="30">
        <v>90</v>
      </c>
      <c r="AA287" s="30" t="s">
        <v>575</v>
      </c>
      <c r="AB287" s="30">
        <v>11</v>
      </c>
      <c r="AC287" s="30" t="s">
        <v>177</v>
      </c>
      <c r="AD287" s="30" t="s">
        <v>178</v>
      </c>
      <c r="AE287" s="30" t="s">
        <v>8</v>
      </c>
      <c r="AF287" s="30" t="s">
        <v>38</v>
      </c>
      <c r="AG287" s="30" t="s">
        <v>14</v>
      </c>
      <c r="AH287" s="30" t="s">
        <v>5</v>
      </c>
      <c r="AI287" s="30"/>
    </row>
    <row r="288" spans="1:35" x14ac:dyDescent="0.3">
      <c r="A288" s="30">
        <v>100</v>
      </c>
      <c r="B288" s="30" t="s">
        <v>569</v>
      </c>
      <c r="C288" s="30" t="s">
        <v>570</v>
      </c>
      <c r="D288" s="31">
        <v>46081</v>
      </c>
      <c r="E288" s="30">
        <v>978</v>
      </c>
      <c r="F288" s="30">
        <v>0</v>
      </c>
      <c r="G288" s="32">
        <v>62361910</v>
      </c>
      <c r="H288" s="30">
        <v>16320507444</v>
      </c>
      <c r="I288" s="30" t="s">
        <v>773</v>
      </c>
      <c r="J288" s="30" t="s">
        <v>587</v>
      </c>
      <c r="K288" s="30" t="s">
        <v>588</v>
      </c>
      <c r="L288" s="30" t="s">
        <v>194</v>
      </c>
      <c r="M288" s="30" t="s">
        <v>195</v>
      </c>
      <c r="N288" s="30" t="s">
        <v>167</v>
      </c>
      <c r="O288" s="30">
        <v>62361910</v>
      </c>
      <c r="P288" s="30">
        <v>1</v>
      </c>
      <c r="Q288" s="30" t="s">
        <v>168</v>
      </c>
      <c r="R288" s="30" t="s">
        <v>169</v>
      </c>
      <c r="S288" s="30"/>
      <c r="T288" s="30"/>
      <c r="U288" s="30"/>
      <c r="V288" s="30" t="s">
        <v>172</v>
      </c>
      <c r="W288" s="30" t="s">
        <v>173</v>
      </c>
      <c r="X288" s="30" t="s">
        <v>589</v>
      </c>
      <c r="Y288" s="30" t="s">
        <v>765</v>
      </c>
      <c r="Z288" s="30">
        <v>91</v>
      </c>
      <c r="AA288" s="30" t="s">
        <v>575</v>
      </c>
      <c r="AB288" s="30">
        <v>11</v>
      </c>
      <c r="AC288" s="30" t="s">
        <v>177</v>
      </c>
      <c r="AD288" s="30" t="s">
        <v>178</v>
      </c>
      <c r="AE288" s="30" t="s">
        <v>8</v>
      </c>
      <c r="AF288" s="30" t="s">
        <v>38</v>
      </c>
      <c r="AG288" s="30" t="s">
        <v>14</v>
      </c>
      <c r="AH288" s="30" t="s">
        <v>5</v>
      </c>
      <c r="AI288" s="30"/>
    </row>
    <row r="289" spans="1:35" x14ac:dyDescent="0.3">
      <c r="A289" s="30">
        <v>101</v>
      </c>
      <c r="B289" s="30" t="s">
        <v>569</v>
      </c>
      <c r="C289" s="30" t="s">
        <v>570</v>
      </c>
      <c r="D289" s="31">
        <v>46081</v>
      </c>
      <c r="E289" s="30">
        <v>978</v>
      </c>
      <c r="F289" s="30">
        <v>0</v>
      </c>
      <c r="G289" s="32">
        <v>5880000</v>
      </c>
      <c r="H289" s="30">
        <v>16326387444</v>
      </c>
      <c r="I289" s="30" t="s">
        <v>774</v>
      </c>
      <c r="J289" s="30" t="s">
        <v>587</v>
      </c>
      <c r="K289" s="30" t="s">
        <v>588</v>
      </c>
      <c r="L289" s="30" t="s">
        <v>194</v>
      </c>
      <c r="M289" s="30" t="s">
        <v>195</v>
      </c>
      <c r="N289" s="30" t="s">
        <v>167</v>
      </c>
      <c r="O289" s="30">
        <v>5880000</v>
      </c>
      <c r="P289" s="30">
        <v>1</v>
      </c>
      <c r="Q289" s="30" t="s">
        <v>168</v>
      </c>
      <c r="R289" s="30" t="s">
        <v>169</v>
      </c>
      <c r="S289" s="30"/>
      <c r="T289" s="30"/>
      <c r="U289" s="30"/>
      <c r="V289" s="30" t="s">
        <v>172</v>
      </c>
      <c r="W289" s="30" t="s">
        <v>173</v>
      </c>
      <c r="X289" s="30" t="s">
        <v>589</v>
      </c>
      <c r="Y289" s="30" t="s">
        <v>765</v>
      </c>
      <c r="Z289" s="30">
        <v>92</v>
      </c>
      <c r="AA289" s="30" t="s">
        <v>575</v>
      </c>
      <c r="AB289" s="30">
        <v>11</v>
      </c>
      <c r="AC289" s="30" t="s">
        <v>177</v>
      </c>
      <c r="AD289" s="30" t="s">
        <v>178</v>
      </c>
      <c r="AE289" s="30" t="s">
        <v>8</v>
      </c>
      <c r="AF289" s="30" t="s">
        <v>38</v>
      </c>
      <c r="AG289" s="30" t="s">
        <v>14</v>
      </c>
      <c r="AH289" s="30" t="s">
        <v>5</v>
      </c>
      <c r="AI289" s="30"/>
    </row>
    <row r="290" spans="1:35" x14ac:dyDescent="0.3">
      <c r="A290" s="30">
        <v>102</v>
      </c>
      <c r="B290" s="30" t="s">
        <v>569</v>
      </c>
      <c r="C290" s="30" t="s">
        <v>570</v>
      </c>
      <c r="D290" s="31">
        <v>46081</v>
      </c>
      <c r="E290" s="30">
        <v>979</v>
      </c>
      <c r="F290" s="30">
        <v>0</v>
      </c>
      <c r="G290" s="32">
        <v>33679091</v>
      </c>
      <c r="H290" s="30">
        <v>16360066535</v>
      </c>
      <c r="I290" s="30" t="s">
        <v>775</v>
      </c>
      <c r="J290" s="30" t="s">
        <v>610</v>
      </c>
      <c r="K290" s="30" t="s">
        <v>611</v>
      </c>
      <c r="L290" s="30" t="s">
        <v>194</v>
      </c>
      <c r="M290" s="30" t="s">
        <v>195</v>
      </c>
      <c r="N290" s="30" t="s">
        <v>167</v>
      </c>
      <c r="O290" s="30">
        <v>33679091</v>
      </c>
      <c r="P290" s="30">
        <v>1</v>
      </c>
      <c r="Q290" s="30" t="s">
        <v>612</v>
      </c>
      <c r="R290" s="30" t="s">
        <v>613</v>
      </c>
      <c r="S290" s="30"/>
      <c r="T290" s="30"/>
      <c r="U290" s="30"/>
      <c r="V290" s="30" t="s">
        <v>172</v>
      </c>
      <c r="W290" s="30" t="s">
        <v>173</v>
      </c>
      <c r="X290" s="30" t="s">
        <v>589</v>
      </c>
      <c r="Y290" s="30" t="s">
        <v>776</v>
      </c>
      <c r="Z290" s="30">
        <v>4</v>
      </c>
      <c r="AA290" s="30" t="s">
        <v>575</v>
      </c>
      <c r="AB290" s="30">
        <v>11</v>
      </c>
      <c r="AC290" s="30" t="s">
        <v>177</v>
      </c>
      <c r="AD290" s="30" t="s">
        <v>178</v>
      </c>
      <c r="AE290" s="30" t="s">
        <v>8</v>
      </c>
      <c r="AF290" s="30" t="s">
        <v>38</v>
      </c>
      <c r="AG290" s="30" t="s">
        <v>43</v>
      </c>
      <c r="AH290" s="30" t="s">
        <v>5</v>
      </c>
      <c r="AI290" s="30"/>
    </row>
    <row r="291" spans="1:35" x14ac:dyDescent="0.3">
      <c r="A291" s="30">
        <v>103</v>
      </c>
      <c r="B291" s="30" t="s">
        <v>569</v>
      </c>
      <c r="C291" s="30" t="s">
        <v>570</v>
      </c>
      <c r="D291" s="31">
        <v>46081</v>
      </c>
      <c r="E291" s="30">
        <v>979</v>
      </c>
      <c r="F291" s="30">
        <v>0</v>
      </c>
      <c r="G291" s="32">
        <v>112292637</v>
      </c>
      <c r="H291" s="30">
        <v>16472359172</v>
      </c>
      <c r="I291" s="30" t="s">
        <v>777</v>
      </c>
      <c r="J291" s="30" t="s">
        <v>610</v>
      </c>
      <c r="K291" s="30" t="s">
        <v>611</v>
      </c>
      <c r="L291" s="30" t="s">
        <v>194</v>
      </c>
      <c r="M291" s="30" t="s">
        <v>195</v>
      </c>
      <c r="N291" s="30" t="s">
        <v>167</v>
      </c>
      <c r="O291" s="30">
        <v>112292637</v>
      </c>
      <c r="P291" s="30">
        <v>1</v>
      </c>
      <c r="Q291" s="30" t="s">
        <v>616</v>
      </c>
      <c r="R291" s="30" t="s">
        <v>617</v>
      </c>
      <c r="S291" s="30"/>
      <c r="T291" s="30"/>
      <c r="U291" s="30"/>
      <c r="V291" s="30" t="s">
        <v>172</v>
      </c>
      <c r="W291" s="30" t="s">
        <v>173</v>
      </c>
      <c r="X291" s="30" t="s">
        <v>589</v>
      </c>
      <c r="Y291" s="30" t="s">
        <v>776</v>
      </c>
      <c r="Z291" s="30">
        <v>10</v>
      </c>
      <c r="AA291" s="30" t="s">
        <v>575</v>
      </c>
      <c r="AB291" s="30">
        <v>11</v>
      </c>
      <c r="AC291" s="30" t="s">
        <v>177</v>
      </c>
      <c r="AD291" s="30" t="s">
        <v>178</v>
      </c>
      <c r="AE291" s="30" t="s">
        <v>8</v>
      </c>
      <c r="AF291" s="30" t="s">
        <v>38</v>
      </c>
      <c r="AG291" s="30" t="s">
        <v>43</v>
      </c>
      <c r="AH291" s="30" t="s">
        <v>5</v>
      </c>
      <c r="AI291" s="30"/>
    </row>
    <row r="292" spans="1:35" x14ac:dyDescent="0.3">
      <c r="A292" s="30">
        <v>104</v>
      </c>
      <c r="B292" s="30" t="s">
        <v>569</v>
      </c>
      <c r="C292" s="30" t="s">
        <v>570</v>
      </c>
      <c r="D292" s="31">
        <v>46081</v>
      </c>
      <c r="E292" s="30">
        <v>979</v>
      </c>
      <c r="F292" s="30">
        <v>0</v>
      </c>
      <c r="G292" s="32">
        <v>611219091</v>
      </c>
      <c r="H292" s="30">
        <v>17083578263</v>
      </c>
      <c r="I292" s="30" t="s">
        <v>778</v>
      </c>
      <c r="J292" s="30" t="s">
        <v>610</v>
      </c>
      <c r="K292" s="30" t="s">
        <v>611</v>
      </c>
      <c r="L292" s="30" t="s">
        <v>194</v>
      </c>
      <c r="M292" s="30" t="s">
        <v>195</v>
      </c>
      <c r="N292" s="30" t="s">
        <v>167</v>
      </c>
      <c r="O292" s="30">
        <v>611219091</v>
      </c>
      <c r="P292" s="30">
        <v>1</v>
      </c>
      <c r="Q292" s="30" t="s">
        <v>619</v>
      </c>
      <c r="R292" s="30" t="s">
        <v>620</v>
      </c>
      <c r="S292" s="30"/>
      <c r="T292" s="30"/>
      <c r="U292" s="30"/>
      <c r="V292" s="30" t="s">
        <v>172</v>
      </c>
      <c r="W292" s="30" t="s">
        <v>173</v>
      </c>
      <c r="X292" s="30" t="s">
        <v>589</v>
      </c>
      <c r="Y292" s="30" t="s">
        <v>776</v>
      </c>
      <c r="Z292" s="30">
        <v>16</v>
      </c>
      <c r="AA292" s="30" t="s">
        <v>575</v>
      </c>
      <c r="AB292" s="30">
        <v>11</v>
      </c>
      <c r="AC292" s="30" t="s">
        <v>177</v>
      </c>
      <c r="AD292" s="30" t="s">
        <v>178</v>
      </c>
      <c r="AE292" s="30" t="s">
        <v>8</v>
      </c>
      <c r="AF292" s="30" t="s">
        <v>38</v>
      </c>
      <c r="AG292" s="30" t="s">
        <v>43</v>
      </c>
      <c r="AH292" s="30" t="s">
        <v>5</v>
      </c>
      <c r="AI292" s="30"/>
    </row>
    <row r="293" spans="1:35" x14ac:dyDescent="0.3">
      <c r="A293" s="30">
        <v>105</v>
      </c>
      <c r="B293" s="30" t="s">
        <v>569</v>
      </c>
      <c r="C293" s="30" t="s">
        <v>570</v>
      </c>
      <c r="D293" s="31">
        <v>46081</v>
      </c>
      <c r="E293" s="30">
        <v>979</v>
      </c>
      <c r="F293" s="30">
        <v>0</v>
      </c>
      <c r="G293" s="32">
        <v>477273</v>
      </c>
      <c r="H293" s="30">
        <v>17084055536</v>
      </c>
      <c r="I293" s="30" t="s">
        <v>779</v>
      </c>
      <c r="J293" s="30" t="s">
        <v>610</v>
      </c>
      <c r="K293" s="30" t="s">
        <v>611</v>
      </c>
      <c r="L293" s="30" t="s">
        <v>194</v>
      </c>
      <c r="M293" s="30" t="s">
        <v>195</v>
      </c>
      <c r="N293" s="30" t="s">
        <v>167</v>
      </c>
      <c r="O293" s="30">
        <v>477273</v>
      </c>
      <c r="P293" s="30">
        <v>1</v>
      </c>
      <c r="Q293" s="30" t="s">
        <v>622</v>
      </c>
      <c r="R293" s="30" t="s">
        <v>623</v>
      </c>
      <c r="S293" s="30"/>
      <c r="T293" s="30"/>
      <c r="U293" s="30"/>
      <c r="V293" s="30" t="s">
        <v>172</v>
      </c>
      <c r="W293" s="30" t="s">
        <v>173</v>
      </c>
      <c r="X293" s="30" t="s">
        <v>589</v>
      </c>
      <c r="Y293" s="30" t="s">
        <v>776</v>
      </c>
      <c r="Z293" s="30">
        <v>22</v>
      </c>
      <c r="AA293" s="30" t="s">
        <v>575</v>
      </c>
      <c r="AB293" s="30">
        <v>11</v>
      </c>
      <c r="AC293" s="30" t="s">
        <v>177</v>
      </c>
      <c r="AD293" s="30" t="s">
        <v>178</v>
      </c>
      <c r="AE293" s="30" t="s">
        <v>8</v>
      </c>
      <c r="AF293" s="30" t="s">
        <v>38</v>
      </c>
      <c r="AG293" s="30" t="s">
        <v>43</v>
      </c>
      <c r="AH293" s="30" t="s">
        <v>5</v>
      </c>
      <c r="AI293" s="30"/>
    </row>
    <row r="294" spans="1:35" x14ac:dyDescent="0.3">
      <c r="A294" s="30">
        <v>106</v>
      </c>
      <c r="B294" s="30" t="s">
        <v>569</v>
      </c>
      <c r="C294" s="30" t="s">
        <v>570</v>
      </c>
      <c r="D294" s="31">
        <v>46081</v>
      </c>
      <c r="E294" s="30">
        <v>980</v>
      </c>
      <c r="F294" s="30">
        <v>0</v>
      </c>
      <c r="G294" s="32">
        <v>183753182</v>
      </c>
      <c r="H294" s="30">
        <v>17267808718</v>
      </c>
      <c r="I294" s="30" t="s">
        <v>780</v>
      </c>
      <c r="J294" s="30" t="s">
        <v>606</v>
      </c>
      <c r="K294" s="30" t="s">
        <v>607</v>
      </c>
      <c r="L294" s="30" t="s">
        <v>194</v>
      </c>
      <c r="M294" s="30" t="s">
        <v>195</v>
      </c>
      <c r="N294" s="30" t="s">
        <v>167</v>
      </c>
      <c r="O294" s="30">
        <v>183753182</v>
      </c>
      <c r="P294" s="30">
        <v>1</v>
      </c>
      <c r="Q294" s="30" t="s">
        <v>168</v>
      </c>
      <c r="R294" s="30" t="s">
        <v>169</v>
      </c>
      <c r="S294" s="30"/>
      <c r="T294" s="30"/>
      <c r="U294" s="30"/>
      <c r="V294" s="30" t="s">
        <v>172</v>
      </c>
      <c r="W294" s="30" t="s">
        <v>173</v>
      </c>
      <c r="X294" s="30" t="s">
        <v>589</v>
      </c>
      <c r="Y294" s="30" t="s">
        <v>781</v>
      </c>
      <c r="Z294" s="30">
        <v>9</v>
      </c>
      <c r="AA294" s="30" t="s">
        <v>575</v>
      </c>
      <c r="AB294" s="30">
        <v>11</v>
      </c>
      <c r="AC294" s="30" t="s">
        <v>177</v>
      </c>
      <c r="AD294" s="30" t="s">
        <v>178</v>
      </c>
      <c r="AE294" s="30" t="s">
        <v>8</v>
      </c>
      <c r="AF294" s="30" t="s">
        <v>38</v>
      </c>
      <c r="AG294" s="30" t="s">
        <v>44</v>
      </c>
      <c r="AH294" s="30" t="s">
        <v>5</v>
      </c>
      <c r="AI294" s="30"/>
    </row>
    <row r="295" spans="1:35" x14ac:dyDescent="0.3">
      <c r="A295" s="30">
        <v>107</v>
      </c>
      <c r="B295" s="30" t="s">
        <v>569</v>
      </c>
      <c r="C295" s="30" t="s">
        <v>570</v>
      </c>
      <c r="D295" s="31">
        <v>46081</v>
      </c>
      <c r="E295" s="30">
        <v>981</v>
      </c>
      <c r="F295" s="30">
        <v>0</v>
      </c>
      <c r="G295" s="32">
        <v>507604</v>
      </c>
      <c r="H295" s="30">
        <v>17268316322</v>
      </c>
      <c r="I295" s="30" t="s">
        <v>782</v>
      </c>
      <c r="J295" s="30" t="s">
        <v>625</v>
      </c>
      <c r="K295" s="30" t="s">
        <v>626</v>
      </c>
      <c r="L295" s="30" t="s">
        <v>194</v>
      </c>
      <c r="M295" s="30" t="s">
        <v>195</v>
      </c>
      <c r="N295" s="30" t="s">
        <v>397</v>
      </c>
      <c r="O295" s="30">
        <v>350.24</v>
      </c>
      <c r="P295" s="30">
        <v>1449.32</v>
      </c>
      <c r="Q295" s="30" t="s">
        <v>168</v>
      </c>
      <c r="R295" s="30" t="s">
        <v>169</v>
      </c>
      <c r="S295" s="30"/>
      <c r="T295" s="30"/>
      <c r="U295" s="30"/>
      <c r="V295" s="30" t="s">
        <v>172</v>
      </c>
      <c r="W295" s="30" t="s">
        <v>173</v>
      </c>
      <c r="X295" s="30" t="s">
        <v>589</v>
      </c>
      <c r="Y295" s="30" t="s">
        <v>783</v>
      </c>
      <c r="Z295" s="30">
        <v>2</v>
      </c>
      <c r="AA295" s="30" t="s">
        <v>197</v>
      </c>
      <c r="AB295" s="30">
        <v>11</v>
      </c>
      <c r="AC295" s="30" t="s">
        <v>177</v>
      </c>
      <c r="AD295" s="30" t="s">
        <v>178</v>
      </c>
      <c r="AE295" s="30" t="s">
        <v>8</v>
      </c>
      <c r="AF295" s="30" t="s">
        <v>38</v>
      </c>
      <c r="AG295" s="30" t="s">
        <v>39</v>
      </c>
      <c r="AH295" s="30" t="s">
        <v>5</v>
      </c>
      <c r="AI295" s="30"/>
    </row>
    <row r="296" spans="1:35" x14ac:dyDescent="0.3">
      <c r="A296" s="30">
        <v>108</v>
      </c>
      <c r="B296" s="30" t="s">
        <v>569</v>
      </c>
      <c r="C296" s="30" t="s">
        <v>570</v>
      </c>
      <c r="D296" s="31">
        <v>46081</v>
      </c>
      <c r="E296" s="30">
        <v>981</v>
      </c>
      <c r="F296" s="30">
        <v>0</v>
      </c>
      <c r="G296" s="32">
        <v>27131</v>
      </c>
      <c r="H296" s="30">
        <v>17268343453</v>
      </c>
      <c r="I296" s="30" t="s">
        <v>784</v>
      </c>
      <c r="J296" s="30" t="s">
        <v>625</v>
      </c>
      <c r="K296" s="30" t="s">
        <v>626</v>
      </c>
      <c r="L296" s="30" t="s">
        <v>194</v>
      </c>
      <c r="M296" s="30" t="s">
        <v>195</v>
      </c>
      <c r="N296" s="30" t="s">
        <v>397</v>
      </c>
      <c r="O296" s="30">
        <v>18.72</v>
      </c>
      <c r="P296" s="30">
        <v>1449.32</v>
      </c>
      <c r="Q296" s="30" t="s">
        <v>168</v>
      </c>
      <c r="R296" s="30" t="s">
        <v>169</v>
      </c>
      <c r="S296" s="30"/>
      <c r="T296" s="30"/>
      <c r="U296" s="30"/>
      <c r="V296" s="30" t="s">
        <v>172</v>
      </c>
      <c r="W296" s="30" t="s">
        <v>173</v>
      </c>
      <c r="X296" s="30" t="s">
        <v>589</v>
      </c>
      <c r="Y296" s="30" t="s">
        <v>783</v>
      </c>
      <c r="Z296" s="30">
        <v>3</v>
      </c>
      <c r="AA296" s="30" t="s">
        <v>197</v>
      </c>
      <c r="AB296" s="30">
        <v>11</v>
      </c>
      <c r="AC296" s="30" t="s">
        <v>177</v>
      </c>
      <c r="AD296" s="30" t="s">
        <v>178</v>
      </c>
      <c r="AE296" s="30" t="s">
        <v>8</v>
      </c>
      <c r="AF296" s="30" t="s">
        <v>38</v>
      </c>
      <c r="AG296" s="30" t="s">
        <v>39</v>
      </c>
      <c r="AH296" s="30" t="s">
        <v>5</v>
      </c>
      <c r="AI296" s="30"/>
    </row>
    <row r="297" spans="1:35" x14ac:dyDescent="0.3">
      <c r="A297" s="30">
        <v>109</v>
      </c>
      <c r="B297" s="30" t="s">
        <v>569</v>
      </c>
      <c r="C297" s="30" t="s">
        <v>570</v>
      </c>
      <c r="D297" s="31">
        <v>46081</v>
      </c>
      <c r="E297" s="30">
        <v>982</v>
      </c>
      <c r="F297" s="30">
        <v>0</v>
      </c>
      <c r="G297" s="32">
        <v>18196314</v>
      </c>
      <c r="H297" s="30">
        <v>17286539767</v>
      </c>
      <c r="I297" s="30" t="s">
        <v>785</v>
      </c>
      <c r="J297" s="30" t="s">
        <v>637</v>
      </c>
      <c r="K297" s="30" t="s">
        <v>638</v>
      </c>
      <c r="L297" s="30" t="s">
        <v>194</v>
      </c>
      <c r="M297" s="30" t="s">
        <v>195</v>
      </c>
      <c r="N297" s="30" t="s">
        <v>397</v>
      </c>
      <c r="O297" s="30">
        <v>12555.07</v>
      </c>
      <c r="P297" s="30">
        <v>1449.32</v>
      </c>
      <c r="Q297" s="30" t="s">
        <v>639</v>
      </c>
      <c r="R297" s="30" t="s">
        <v>640</v>
      </c>
      <c r="S297" s="30"/>
      <c r="T297" s="30"/>
      <c r="U297" s="30"/>
      <c r="V297" s="30" t="s">
        <v>172</v>
      </c>
      <c r="W297" s="30" t="s">
        <v>173</v>
      </c>
      <c r="X297" s="30" t="s">
        <v>589</v>
      </c>
      <c r="Y297" s="30" t="s">
        <v>786</v>
      </c>
      <c r="Z297" s="30">
        <v>2</v>
      </c>
      <c r="AA297" s="30" t="s">
        <v>197</v>
      </c>
      <c r="AB297" s="30">
        <v>11</v>
      </c>
      <c r="AC297" s="30" t="s">
        <v>177</v>
      </c>
      <c r="AD297" s="30" t="s">
        <v>178</v>
      </c>
      <c r="AE297" s="30" t="s">
        <v>8</v>
      </c>
      <c r="AF297" s="30" t="s">
        <v>28</v>
      </c>
      <c r="AG297" s="30" t="s">
        <v>31</v>
      </c>
      <c r="AH297" s="30" t="s">
        <v>5</v>
      </c>
      <c r="AI297" s="30"/>
    </row>
    <row r="298" spans="1:35" x14ac:dyDescent="0.3">
      <c r="A298" s="30">
        <v>110</v>
      </c>
      <c r="B298" s="30" t="s">
        <v>569</v>
      </c>
      <c r="C298" s="30" t="s">
        <v>570</v>
      </c>
      <c r="D298" s="31">
        <v>46081</v>
      </c>
      <c r="E298" s="30">
        <v>984</v>
      </c>
      <c r="F298" s="30">
        <v>0</v>
      </c>
      <c r="G298" s="32">
        <v>71388096</v>
      </c>
      <c r="H298" s="30">
        <v>17357927863</v>
      </c>
      <c r="I298" s="30" t="s">
        <v>787</v>
      </c>
      <c r="J298" s="30" t="s">
        <v>646</v>
      </c>
      <c r="K298" s="30" t="s">
        <v>647</v>
      </c>
      <c r="L298" s="30" t="s">
        <v>194</v>
      </c>
      <c r="M298" s="30" t="s">
        <v>195</v>
      </c>
      <c r="N298" s="30" t="s">
        <v>167</v>
      </c>
      <c r="O298" s="30">
        <v>71388096</v>
      </c>
      <c r="P298" s="30">
        <v>1</v>
      </c>
      <c r="Q298" s="30" t="s">
        <v>168</v>
      </c>
      <c r="R298" s="30" t="s">
        <v>169</v>
      </c>
      <c r="S298" s="30"/>
      <c r="T298" s="30"/>
      <c r="U298" s="30"/>
      <c r="V298" s="30" t="s">
        <v>172</v>
      </c>
      <c r="W298" s="30" t="s">
        <v>173</v>
      </c>
      <c r="X298" s="30" t="s">
        <v>589</v>
      </c>
      <c r="Y298" s="30" t="s">
        <v>788</v>
      </c>
      <c r="Z298" s="30">
        <v>3</v>
      </c>
      <c r="AA298" s="30" t="s">
        <v>575</v>
      </c>
      <c r="AB298" s="30">
        <v>11</v>
      </c>
      <c r="AC298" s="30" t="s">
        <v>177</v>
      </c>
      <c r="AD298" s="30" t="s">
        <v>178</v>
      </c>
      <c r="AE298" s="30" t="s">
        <v>8</v>
      </c>
      <c r="AF298" s="30" t="s">
        <v>45</v>
      </c>
      <c r="AG298" s="30" t="s">
        <v>49</v>
      </c>
      <c r="AH298" s="30" t="s">
        <v>5</v>
      </c>
      <c r="AI298" s="30" t="s">
        <v>50</v>
      </c>
    </row>
    <row r="299" spans="1:35" x14ac:dyDescent="0.3">
      <c r="A299" s="30">
        <v>111</v>
      </c>
      <c r="B299" s="30" t="s">
        <v>569</v>
      </c>
      <c r="C299" s="30" t="s">
        <v>570</v>
      </c>
      <c r="D299" s="31">
        <v>46081</v>
      </c>
      <c r="E299" s="30">
        <v>985</v>
      </c>
      <c r="F299" s="30">
        <v>0</v>
      </c>
      <c r="G299" s="32">
        <v>17306910</v>
      </c>
      <c r="H299" s="30">
        <v>17375234773</v>
      </c>
      <c r="I299" s="30" t="s">
        <v>789</v>
      </c>
      <c r="J299" s="30" t="s">
        <v>661</v>
      </c>
      <c r="K299" s="30" t="s">
        <v>662</v>
      </c>
      <c r="L299" s="30" t="s">
        <v>194</v>
      </c>
      <c r="M299" s="30" t="s">
        <v>195</v>
      </c>
      <c r="N299" s="30" t="s">
        <v>397</v>
      </c>
      <c r="O299" s="30">
        <v>11941.4</v>
      </c>
      <c r="P299" s="30">
        <v>1449.32</v>
      </c>
      <c r="Q299" s="30" t="s">
        <v>168</v>
      </c>
      <c r="R299" s="30" t="s">
        <v>169</v>
      </c>
      <c r="S299" s="30"/>
      <c r="T299" s="30"/>
      <c r="U299" s="30"/>
      <c r="V299" s="30" t="s">
        <v>172</v>
      </c>
      <c r="W299" s="30" t="s">
        <v>173</v>
      </c>
      <c r="X299" s="30" t="s">
        <v>589</v>
      </c>
      <c r="Y299" s="30" t="s">
        <v>790</v>
      </c>
      <c r="Z299" s="30">
        <v>2</v>
      </c>
      <c r="AA299" s="30" t="s">
        <v>197</v>
      </c>
      <c r="AB299" s="30">
        <v>11</v>
      </c>
      <c r="AC299" s="30" t="s">
        <v>177</v>
      </c>
      <c r="AD299" s="30" t="s">
        <v>178</v>
      </c>
      <c r="AE299" s="30" t="s">
        <v>8</v>
      </c>
      <c r="AF299" s="30" t="s">
        <v>45</v>
      </c>
      <c r="AG299" s="30" t="s">
        <v>47</v>
      </c>
      <c r="AH299" s="30" t="s">
        <v>5</v>
      </c>
      <c r="AI299" s="30"/>
    </row>
    <row r="300" spans="1:35" x14ac:dyDescent="0.3">
      <c r="A300" s="30">
        <v>112</v>
      </c>
      <c r="B300" s="30" t="s">
        <v>569</v>
      </c>
      <c r="C300" s="30" t="s">
        <v>570</v>
      </c>
      <c r="D300" s="31">
        <v>46081</v>
      </c>
      <c r="E300" s="30">
        <v>986</v>
      </c>
      <c r="F300" s="30">
        <v>0</v>
      </c>
      <c r="G300" s="32">
        <v>2751</v>
      </c>
      <c r="H300" s="30">
        <v>17375237524</v>
      </c>
      <c r="I300" s="30" t="s">
        <v>791</v>
      </c>
      <c r="J300" s="30" t="s">
        <v>665</v>
      </c>
      <c r="K300" s="30" t="s">
        <v>666</v>
      </c>
      <c r="L300" s="30" t="s">
        <v>194</v>
      </c>
      <c r="M300" s="30" t="s">
        <v>195</v>
      </c>
      <c r="N300" s="30" t="s">
        <v>667</v>
      </c>
      <c r="O300" s="30">
        <v>295</v>
      </c>
      <c r="P300" s="30">
        <v>9.3262999999999998</v>
      </c>
      <c r="Q300" s="30" t="s">
        <v>168</v>
      </c>
      <c r="R300" s="30" t="s">
        <v>169</v>
      </c>
      <c r="S300" s="30"/>
      <c r="T300" s="30"/>
      <c r="U300" s="30"/>
      <c r="V300" s="30" t="s">
        <v>172</v>
      </c>
      <c r="W300" s="30" t="s">
        <v>173</v>
      </c>
      <c r="X300" s="30" t="s">
        <v>589</v>
      </c>
      <c r="Y300" s="30" t="s">
        <v>792</v>
      </c>
      <c r="Z300" s="30">
        <v>3</v>
      </c>
      <c r="AA300" s="30" t="s">
        <v>197</v>
      </c>
      <c r="AB300" s="30">
        <v>11</v>
      </c>
      <c r="AC300" s="30" t="s">
        <v>177</v>
      </c>
      <c r="AD300" s="30" t="s">
        <v>178</v>
      </c>
      <c r="AE300" s="30" t="s">
        <v>8</v>
      </c>
      <c r="AF300" s="30" t="s">
        <v>45</v>
      </c>
      <c r="AG300" s="30" t="s">
        <v>48</v>
      </c>
      <c r="AH300" s="30" t="s">
        <v>5</v>
      </c>
      <c r="AI300" s="30"/>
    </row>
    <row r="301" spans="1:35" x14ac:dyDescent="0.3">
      <c r="A301" s="30">
        <v>113</v>
      </c>
      <c r="B301" s="30" t="s">
        <v>569</v>
      </c>
      <c r="C301" s="30" t="s">
        <v>570</v>
      </c>
      <c r="D301" s="31">
        <v>46081</v>
      </c>
      <c r="E301" s="30">
        <v>1030</v>
      </c>
      <c r="F301" s="30">
        <v>0</v>
      </c>
      <c r="G301" s="32">
        <v>167976</v>
      </c>
      <c r="H301" s="30">
        <v>17375405500</v>
      </c>
      <c r="I301" s="30" t="s">
        <v>793</v>
      </c>
      <c r="J301" s="30" t="s">
        <v>387</v>
      </c>
      <c r="K301" s="30" t="s">
        <v>388</v>
      </c>
      <c r="L301" s="30" t="s">
        <v>194</v>
      </c>
      <c r="M301" s="30" t="s">
        <v>195</v>
      </c>
      <c r="N301" s="30" t="s">
        <v>397</v>
      </c>
      <c r="O301" s="30">
        <v>115.9</v>
      </c>
      <c r="P301" s="30">
        <v>1449.32</v>
      </c>
      <c r="Q301" s="30" t="s">
        <v>168</v>
      </c>
      <c r="R301" s="30" t="s">
        <v>169</v>
      </c>
      <c r="S301" s="30"/>
      <c r="T301" s="30"/>
      <c r="U301" s="30"/>
      <c r="V301" s="30" t="s">
        <v>172</v>
      </c>
      <c r="W301" s="30" t="s">
        <v>245</v>
      </c>
      <c r="X301" s="30" t="s">
        <v>189</v>
      </c>
      <c r="Y301" s="30" t="s">
        <v>794</v>
      </c>
      <c r="Z301" s="30">
        <v>4</v>
      </c>
      <c r="AA301" s="30" t="s">
        <v>197</v>
      </c>
      <c r="AB301" s="30">
        <v>11</v>
      </c>
      <c r="AC301" s="30" t="s">
        <v>177</v>
      </c>
      <c r="AD301" s="30" t="s">
        <v>178</v>
      </c>
      <c r="AE301" s="30" t="s">
        <v>8</v>
      </c>
      <c r="AF301" s="30" t="s">
        <v>53</v>
      </c>
      <c r="AG301" s="30" t="s">
        <v>53</v>
      </c>
      <c r="AH301" s="30" t="s">
        <v>5</v>
      </c>
      <c r="AI301" s="30" t="s">
        <v>54</v>
      </c>
    </row>
    <row r="302" spans="1:35" x14ac:dyDescent="0.3">
      <c r="A302" s="30">
        <v>114</v>
      </c>
      <c r="B302" s="30" t="s">
        <v>569</v>
      </c>
      <c r="C302" s="30" t="s">
        <v>570</v>
      </c>
      <c r="D302" s="31">
        <v>46081</v>
      </c>
      <c r="E302" s="30">
        <v>1030</v>
      </c>
      <c r="F302" s="30">
        <v>0</v>
      </c>
      <c r="G302" s="32">
        <v>559945</v>
      </c>
      <c r="H302" s="30">
        <v>17375965445</v>
      </c>
      <c r="I302" s="30" t="s">
        <v>795</v>
      </c>
      <c r="J302" s="30" t="s">
        <v>387</v>
      </c>
      <c r="K302" s="30" t="s">
        <v>388</v>
      </c>
      <c r="L302" s="30" t="s">
        <v>194</v>
      </c>
      <c r="M302" s="30" t="s">
        <v>195</v>
      </c>
      <c r="N302" s="30" t="s">
        <v>397</v>
      </c>
      <c r="O302" s="30">
        <v>386.35</v>
      </c>
      <c r="P302" s="30">
        <v>1449.32</v>
      </c>
      <c r="Q302" s="30" t="s">
        <v>168</v>
      </c>
      <c r="R302" s="30" t="s">
        <v>169</v>
      </c>
      <c r="S302" s="30"/>
      <c r="T302" s="30"/>
      <c r="U302" s="30"/>
      <c r="V302" s="30" t="s">
        <v>172</v>
      </c>
      <c r="W302" s="30" t="s">
        <v>245</v>
      </c>
      <c r="X302" s="30" t="s">
        <v>189</v>
      </c>
      <c r="Y302" s="30" t="s">
        <v>794</v>
      </c>
      <c r="Z302" s="30">
        <v>5</v>
      </c>
      <c r="AA302" s="30" t="s">
        <v>197</v>
      </c>
      <c r="AB302" s="30">
        <v>11</v>
      </c>
      <c r="AC302" s="30" t="s">
        <v>177</v>
      </c>
      <c r="AD302" s="30" t="s">
        <v>178</v>
      </c>
      <c r="AE302" s="30" t="s">
        <v>8</v>
      </c>
      <c r="AF302" s="30" t="s">
        <v>53</v>
      </c>
      <c r="AG302" s="30" t="s">
        <v>53</v>
      </c>
      <c r="AH302" s="30" t="s">
        <v>5</v>
      </c>
      <c r="AI302" s="30" t="s">
        <v>54</v>
      </c>
    </row>
    <row r="303" spans="1:35" x14ac:dyDescent="0.3">
      <c r="A303" s="30">
        <v>115</v>
      </c>
      <c r="B303" s="30" t="s">
        <v>569</v>
      </c>
      <c r="C303" s="30" t="s">
        <v>570</v>
      </c>
      <c r="D303" s="31">
        <v>46081</v>
      </c>
      <c r="E303" s="30">
        <v>1028</v>
      </c>
      <c r="F303" s="30">
        <v>0</v>
      </c>
      <c r="G303" s="32">
        <v>62213076</v>
      </c>
      <c r="H303" s="30">
        <v>17438178521</v>
      </c>
      <c r="I303" s="30" t="s">
        <v>796</v>
      </c>
      <c r="J303" s="30" t="s">
        <v>657</v>
      </c>
      <c r="K303" s="30" t="s">
        <v>658</v>
      </c>
      <c r="L303" s="30" t="s">
        <v>194</v>
      </c>
      <c r="M303" s="30" t="s">
        <v>195</v>
      </c>
      <c r="N303" s="30" t="s">
        <v>397</v>
      </c>
      <c r="O303" s="30">
        <v>42925.7</v>
      </c>
      <c r="P303" s="30">
        <v>1449.32</v>
      </c>
      <c r="Q303" s="30" t="s">
        <v>168</v>
      </c>
      <c r="R303" s="30" t="s">
        <v>169</v>
      </c>
      <c r="S303" s="30"/>
      <c r="T303" s="30"/>
      <c r="U303" s="30"/>
      <c r="V303" s="30" t="s">
        <v>172</v>
      </c>
      <c r="W303" s="30" t="s">
        <v>245</v>
      </c>
      <c r="X303" s="30" t="s">
        <v>189</v>
      </c>
      <c r="Y303" s="30" t="s">
        <v>797</v>
      </c>
      <c r="Z303" s="30">
        <v>1</v>
      </c>
      <c r="AA303" s="30" t="s">
        <v>197</v>
      </c>
      <c r="AB303" s="30">
        <v>11</v>
      </c>
      <c r="AC303" s="30" t="s">
        <v>177</v>
      </c>
      <c r="AD303" s="30" t="s">
        <v>178</v>
      </c>
      <c r="AE303" s="30" t="s">
        <v>8</v>
      </c>
      <c r="AF303" s="30" t="s">
        <v>28</v>
      </c>
      <c r="AG303" s="30" t="s">
        <v>30</v>
      </c>
      <c r="AH303" s="30" t="s">
        <v>5</v>
      </c>
      <c r="AI303" s="30"/>
    </row>
    <row r="304" spans="1:35" x14ac:dyDescent="0.3">
      <c r="A304" s="30">
        <v>116</v>
      </c>
      <c r="B304" s="30" t="s">
        <v>569</v>
      </c>
      <c r="C304" s="30" t="s">
        <v>570</v>
      </c>
      <c r="D304" s="31">
        <v>46081</v>
      </c>
      <c r="E304" s="30">
        <v>1048</v>
      </c>
      <c r="F304" s="30">
        <v>0</v>
      </c>
      <c r="G304" s="32">
        <v>766283</v>
      </c>
      <c r="H304" s="30">
        <v>17438944804</v>
      </c>
      <c r="I304" s="30" t="s">
        <v>669</v>
      </c>
      <c r="J304" s="30" t="s">
        <v>299</v>
      </c>
      <c r="K304" s="30" t="s">
        <v>300</v>
      </c>
      <c r="L304" s="30" t="s">
        <v>670</v>
      </c>
      <c r="M304" s="30" t="s">
        <v>671</v>
      </c>
      <c r="N304" s="30" t="s">
        <v>167</v>
      </c>
      <c r="O304" s="30">
        <v>766283</v>
      </c>
      <c r="P304" s="30">
        <v>1</v>
      </c>
      <c r="Q304" s="30" t="s">
        <v>168</v>
      </c>
      <c r="R304" s="30" t="s">
        <v>169</v>
      </c>
      <c r="S304" s="30"/>
      <c r="T304" s="30"/>
      <c r="U304" s="30"/>
      <c r="V304" s="30" t="s">
        <v>172</v>
      </c>
      <c r="W304" s="30" t="s">
        <v>245</v>
      </c>
      <c r="X304" s="30" t="s">
        <v>189</v>
      </c>
      <c r="Y304" s="30" t="s">
        <v>798</v>
      </c>
      <c r="Z304" s="30">
        <v>2585</v>
      </c>
      <c r="AA304" s="30" t="s">
        <v>673</v>
      </c>
      <c r="AB304" s="30">
        <v>12</v>
      </c>
      <c r="AC304" s="30" t="s">
        <v>205</v>
      </c>
      <c r="AD304" s="30" t="s">
        <v>178</v>
      </c>
      <c r="AE304" s="30" t="s">
        <v>8</v>
      </c>
      <c r="AF304" s="30" t="s">
        <v>28</v>
      </c>
      <c r="AG304" s="30" t="s">
        <v>32</v>
      </c>
      <c r="AH304" s="30" t="s">
        <v>5</v>
      </c>
      <c r="AI304" s="30"/>
    </row>
    <row r="305" spans="1:35" x14ac:dyDescent="0.3">
      <c r="A305" s="30">
        <v>117</v>
      </c>
      <c r="B305" s="30" t="s">
        <v>569</v>
      </c>
      <c r="C305" s="30" t="s">
        <v>570</v>
      </c>
      <c r="D305" s="31">
        <v>46081</v>
      </c>
      <c r="E305" s="30">
        <v>1116</v>
      </c>
      <c r="F305" s="30">
        <v>0</v>
      </c>
      <c r="G305" s="32">
        <v>979207891</v>
      </c>
      <c r="H305" s="30">
        <v>18418152695</v>
      </c>
      <c r="I305" s="30" t="s">
        <v>799</v>
      </c>
      <c r="J305" s="30" t="s">
        <v>689</v>
      </c>
      <c r="K305" s="30" t="s">
        <v>690</v>
      </c>
      <c r="L305" s="30" t="s">
        <v>194</v>
      </c>
      <c r="M305" s="30" t="s">
        <v>195</v>
      </c>
      <c r="N305" s="30" t="s">
        <v>397</v>
      </c>
      <c r="O305" s="30">
        <v>675632.63</v>
      </c>
      <c r="P305" s="30">
        <v>1449.32</v>
      </c>
      <c r="Q305" s="30" t="s">
        <v>168</v>
      </c>
      <c r="R305" s="30" t="s">
        <v>169</v>
      </c>
      <c r="S305" s="30"/>
      <c r="T305" s="30"/>
      <c r="U305" s="30"/>
      <c r="V305" s="30" t="s">
        <v>172</v>
      </c>
      <c r="W305" s="30" t="s">
        <v>173</v>
      </c>
      <c r="X305" s="30" t="s">
        <v>228</v>
      </c>
      <c r="Y305" s="30" t="s">
        <v>800</v>
      </c>
      <c r="Z305" s="30">
        <v>3</v>
      </c>
      <c r="AA305" s="30" t="s">
        <v>575</v>
      </c>
      <c r="AB305" s="30">
        <v>11</v>
      </c>
      <c r="AC305" s="30" t="s">
        <v>177</v>
      </c>
      <c r="AD305" s="30" t="s">
        <v>178</v>
      </c>
      <c r="AE305" s="30" t="s">
        <v>8</v>
      </c>
      <c r="AF305" s="30" t="s">
        <v>28</v>
      </c>
      <c r="AG305" s="30" t="s">
        <v>13</v>
      </c>
      <c r="AH305" s="30" t="s">
        <v>5</v>
      </c>
      <c r="AI305" s="30"/>
    </row>
    <row r="306" spans="1:35" x14ac:dyDescent="0.3">
      <c r="A306" s="30">
        <v>118</v>
      </c>
      <c r="B306" s="30" t="s">
        <v>569</v>
      </c>
      <c r="C306" s="30" t="s">
        <v>570</v>
      </c>
      <c r="D306" s="31">
        <v>46081</v>
      </c>
      <c r="E306" s="30">
        <v>1126</v>
      </c>
      <c r="F306" s="30">
        <v>0</v>
      </c>
      <c r="G306" s="32">
        <v>3530038503</v>
      </c>
      <c r="H306" s="30">
        <v>21948191198</v>
      </c>
      <c r="I306" s="30" t="s">
        <v>801</v>
      </c>
      <c r="J306" s="30" t="s">
        <v>572</v>
      </c>
      <c r="K306" s="30" t="s">
        <v>573</v>
      </c>
      <c r="L306" s="30" t="s">
        <v>194</v>
      </c>
      <c r="M306" s="30" t="s">
        <v>195</v>
      </c>
      <c r="N306" s="30" t="s">
        <v>397</v>
      </c>
      <c r="O306" s="30">
        <v>2435651.5499999998</v>
      </c>
      <c r="P306" s="30">
        <v>1449.32</v>
      </c>
      <c r="Q306" s="30" t="s">
        <v>168</v>
      </c>
      <c r="R306" s="30" t="s">
        <v>169</v>
      </c>
      <c r="S306" s="30"/>
      <c r="T306" s="30"/>
      <c r="U306" s="30"/>
      <c r="V306" s="30" t="s">
        <v>172</v>
      </c>
      <c r="W306" s="30" t="s">
        <v>173</v>
      </c>
      <c r="X306" s="30" t="s">
        <v>228</v>
      </c>
      <c r="Y306" s="30" t="s">
        <v>802</v>
      </c>
      <c r="Z306" s="30">
        <v>7</v>
      </c>
      <c r="AA306" s="30" t="s">
        <v>575</v>
      </c>
      <c r="AB306" s="30">
        <v>11</v>
      </c>
      <c r="AC306" s="30" t="s">
        <v>177</v>
      </c>
      <c r="AD306" s="30" t="s">
        <v>178</v>
      </c>
      <c r="AE306" s="30" t="s">
        <v>8</v>
      </c>
      <c r="AF306" s="30" t="s">
        <v>28</v>
      </c>
      <c r="AG306" s="30" t="s">
        <v>9</v>
      </c>
      <c r="AH306" s="30" t="s">
        <v>5</v>
      </c>
      <c r="AI306" s="30"/>
    </row>
    <row r="307" spans="1:35" x14ac:dyDescent="0.3">
      <c r="A307" s="30">
        <v>119</v>
      </c>
      <c r="B307" s="30" t="s">
        <v>569</v>
      </c>
      <c r="C307" s="30" t="s">
        <v>570</v>
      </c>
      <c r="D307" s="31">
        <v>46081</v>
      </c>
      <c r="E307" s="30">
        <v>1126</v>
      </c>
      <c r="F307" s="30">
        <v>0</v>
      </c>
      <c r="G307" s="32">
        <v>2016568988</v>
      </c>
      <c r="H307" s="30">
        <v>23964760186</v>
      </c>
      <c r="I307" s="30" t="s">
        <v>803</v>
      </c>
      <c r="J307" s="30" t="s">
        <v>572</v>
      </c>
      <c r="K307" s="30" t="s">
        <v>573</v>
      </c>
      <c r="L307" s="30" t="s">
        <v>194</v>
      </c>
      <c r="M307" s="30" t="s">
        <v>195</v>
      </c>
      <c r="N307" s="30" t="s">
        <v>397</v>
      </c>
      <c r="O307" s="30">
        <v>1391389.75</v>
      </c>
      <c r="P307" s="30">
        <v>1449.32</v>
      </c>
      <c r="Q307" s="30" t="s">
        <v>168</v>
      </c>
      <c r="R307" s="30" t="s">
        <v>169</v>
      </c>
      <c r="S307" s="30"/>
      <c r="T307" s="30"/>
      <c r="U307" s="30"/>
      <c r="V307" s="30" t="s">
        <v>172</v>
      </c>
      <c r="W307" s="30" t="s">
        <v>173</v>
      </c>
      <c r="X307" s="30" t="s">
        <v>228</v>
      </c>
      <c r="Y307" s="30" t="s">
        <v>802</v>
      </c>
      <c r="Z307" s="30">
        <v>8</v>
      </c>
      <c r="AA307" s="30" t="s">
        <v>575</v>
      </c>
      <c r="AB307" s="30">
        <v>11</v>
      </c>
      <c r="AC307" s="30" t="s">
        <v>177</v>
      </c>
      <c r="AD307" s="30" t="s">
        <v>178</v>
      </c>
      <c r="AE307" s="30" t="s">
        <v>8</v>
      </c>
      <c r="AF307" s="30" t="s">
        <v>28</v>
      </c>
      <c r="AG307" s="30" t="s">
        <v>9</v>
      </c>
      <c r="AH307" s="30" t="s">
        <v>5</v>
      </c>
      <c r="AI307" s="30"/>
    </row>
    <row r="308" spans="1:35" x14ac:dyDescent="0.3">
      <c r="A308" s="30">
        <v>120</v>
      </c>
      <c r="B308" s="30" t="s">
        <v>569</v>
      </c>
      <c r="C308" s="30" t="s">
        <v>570</v>
      </c>
      <c r="D308" s="31">
        <v>46081</v>
      </c>
      <c r="E308" s="30">
        <v>1126</v>
      </c>
      <c r="F308" s="30">
        <v>0</v>
      </c>
      <c r="G308" s="32">
        <v>11481833706</v>
      </c>
      <c r="H308" s="30">
        <v>35446593892</v>
      </c>
      <c r="I308" s="30" t="s">
        <v>804</v>
      </c>
      <c r="J308" s="30" t="s">
        <v>572</v>
      </c>
      <c r="K308" s="30" t="s">
        <v>573</v>
      </c>
      <c r="L308" s="30" t="s">
        <v>194</v>
      </c>
      <c r="M308" s="30" t="s">
        <v>195</v>
      </c>
      <c r="N308" s="30" t="s">
        <v>397</v>
      </c>
      <c r="O308" s="30">
        <v>7922221.25</v>
      </c>
      <c r="P308" s="30">
        <v>1449.32</v>
      </c>
      <c r="Q308" s="30" t="s">
        <v>168</v>
      </c>
      <c r="R308" s="30" t="s">
        <v>169</v>
      </c>
      <c r="S308" s="30"/>
      <c r="T308" s="30"/>
      <c r="U308" s="30"/>
      <c r="V308" s="30" t="s">
        <v>172</v>
      </c>
      <c r="W308" s="30" t="s">
        <v>173</v>
      </c>
      <c r="X308" s="30" t="s">
        <v>228</v>
      </c>
      <c r="Y308" s="30" t="s">
        <v>802</v>
      </c>
      <c r="Z308" s="30">
        <v>9</v>
      </c>
      <c r="AA308" s="30" t="s">
        <v>575</v>
      </c>
      <c r="AB308" s="30">
        <v>11</v>
      </c>
      <c r="AC308" s="30" t="s">
        <v>177</v>
      </c>
      <c r="AD308" s="30" t="s">
        <v>178</v>
      </c>
      <c r="AE308" s="30" t="s">
        <v>8</v>
      </c>
      <c r="AF308" s="30" t="s">
        <v>28</v>
      </c>
      <c r="AG308" s="30" t="s">
        <v>9</v>
      </c>
      <c r="AH308" s="30" t="s">
        <v>5</v>
      </c>
      <c r="AI308" s="30"/>
    </row>
    <row r="309" spans="1:35" x14ac:dyDescent="0.3">
      <c r="A309" s="30">
        <v>121</v>
      </c>
      <c r="B309" s="30" t="s">
        <v>569</v>
      </c>
      <c r="C309" s="30" t="s">
        <v>570</v>
      </c>
      <c r="D309" s="31">
        <v>46081</v>
      </c>
      <c r="E309" s="30">
        <v>1136</v>
      </c>
      <c r="F309" s="30">
        <v>0</v>
      </c>
      <c r="G309" s="32">
        <v>1147566</v>
      </c>
      <c r="H309" s="30">
        <v>35447741458</v>
      </c>
      <c r="I309" s="30" t="s">
        <v>805</v>
      </c>
      <c r="J309" s="30" t="s">
        <v>720</v>
      </c>
      <c r="K309" s="30" t="s">
        <v>29</v>
      </c>
      <c r="L309" s="30" t="s">
        <v>194</v>
      </c>
      <c r="M309" s="30" t="s">
        <v>195</v>
      </c>
      <c r="N309" s="30" t="s">
        <v>721</v>
      </c>
      <c r="O309" s="30">
        <v>671.16</v>
      </c>
      <c r="P309" s="30">
        <v>1709.82</v>
      </c>
      <c r="Q309" s="30" t="s">
        <v>168</v>
      </c>
      <c r="R309" s="30" t="s">
        <v>169</v>
      </c>
      <c r="S309" s="30"/>
      <c r="T309" s="30"/>
      <c r="U309" s="30"/>
      <c r="V309" s="30" t="s">
        <v>172</v>
      </c>
      <c r="W309" s="30" t="s">
        <v>173</v>
      </c>
      <c r="X309" s="30" t="s">
        <v>228</v>
      </c>
      <c r="Y309" s="30" t="s">
        <v>806</v>
      </c>
      <c r="Z309" s="30">
        <v>9</v>
      </c>
      <c r="AA309" s="30" t="s">
        <v>575</v>
      </c>
      <c r="AB309" s="30">
        <v>11</v>
      </c>
      <c r="AC309" s="30" t="s">
        <v>177</v>
      </c>
      <c r="AD309" s="30" t="s">
        <v>178</v>
      </c>
      <c r="AE309" s="30" t="s">
        <v>8</v>
      </c>
      <c r="AF309" s="30" t="s">
        <v>28</v>
      </c>
      <c r="AG309" s="30" t="s">
        <v>29</v>
      </c>
      <c r="AH309" s="30" t="s">
        <v>5</v>
      </c>
      <c r="AI309" s="30"/>
    </row>
    <row r="310" spans="1:35" x14ac:dyDescent="0.3">
      <c r="A310" s="30">
        <v>122</v>
      </c>
      <c r="B310" s="30" t="s">
        <v>569</v>
      </c>
      <c r="C310" s="30" t="s">
        <v>570</v>
      </c>
      <c r="D310" s="31">
        <v>46081</v>
      </c>
      <c r="E310" s="30">
        <v>1136</v>
      </c>
      <c r="F310" s="30">
        <v>0</v>
      </c>
      <c r="G310" s="32">
        <v>22943</v>
      </c>
      <c r="H310" s="30">
        <v>35447764401</v>
      </c>
      <c r="I310" s="30" t="s">
        <v>807</v>
      </c>
      <c r="J310" s="30" t="s">
        <v>720</v>
      </c>
      <c r="K310" s="30" t="s">
        <v>29</v>
      </c>
      <c r="L310" s="30" t="s">
        <v>194</v>
      </c>
      <c r="M310" s="30" t="s">
        <v>195</v>
      </c>
      <c r="N310" s="30" t="s">
        <v>724</v>
      </c>
      <c r="O310" s="30">
        <v>11.65</v>
      </c>
      <c r="P310" s="30">
        <v>1969.32</v>
      </c>
      <c r="Q310" s="30" t="s">
        <v>168</v>
      </c>
      <c r="R310" s="30" t="s">
        <v>169</v>
      </c>
      <c r="S310" s="30"/>
      <c r="T310" s="30"/>
      <c r="U310" s="30"/>
      <c r="V310" s="30" t="s">
        <v>172</v>
      </c>
      <c r="W310" s="30" t="s">
        <v>173</v>
      </c>
      <c r="X310" s="30" t="s">
        <v>228</v>
      </c>
      <c r="Y310" s="30" t="s">
        <v>806</v>
      </c>
      <c r="Z310" s="30">
        <v>10</v>
      </c>
      <c r="AA310" s="30" t="s">
        <v>575</v>
      </c>
      <c r="AB310" s="30">
        <v>11</v>
      </c>
      <c r="AC310" s="30" t="s">
        <v>177</v>
      </c>
      <c r="AD310" s="30" t="s">
        <v>178</v>
      </c>
      <c r="AE310" s="30" t="s">
        <v>8</v>
      </c>
      <c r="AF310" s="30" t="s">
        <v>28</v>
      </c>
      <c r="AG310" s="30" t="s">
        <v>29</v>
      </c>
      <c r="AH310" s="30" t="s">
        <v>5</v>
      </c>
      <c r="AI310" s="30"/>
    </row>
    <row r="311" spans="1:35" x14ac:dyDescent="0.3">
      <c r="A311" s="30">
        <v>123</v>
      </c>
      <c r="B311" s="30" t="s">
        <v>569</v>
      </c>
      <c r="C311" s="30" t="s">
        <v>570</v>
      </c>
      <c r="D311" s="31">
        <v>46081</v>
      </c>
      <c r="E311" s="30">
        <v>1136</v>
      </c>
      <c r="F311" s="30">
        <v>0</v>
      </c>
      <c r="G311" s="32">
        <v>592333</v>
      </c>
      <c r="H311" s="30">
        <v>35448356734</v>
      </c>
      <c r="I311" s="30" t="s">
        <v>808</v>
      </c>
      <c r="J311" s="30" t="s">
        <v>720</v>
      </c>
      <c r="K311" s="30" t="s">
        <v>29</v>
      </c>
      <c r="L311" s="30" t="s">
        <v>194</v>
      </c>
      <c r="M311" s="30" t="s">
        <v>195</v>
      </c>
      <c r="N311" s="30" t="s">
        <v>397</v>
      </c>
      <c r="O311" s="30">
        <v>406.68</v>
      </c>
      <c r="P311" s="30">
        <v>1456.51</v>
      </c>
      <c r="Q311" s="30" t="s">
        <v>168</v>
      </c>
      <c r="R311" s="30" t="s">
        <v>169</v>
      </c>
      <c r="S311" s="30"/>
      <c r="T311" s="30"/>
      <c r="U311" s="30"/>
      <c r="V311" s="30" t="s">
        <v>172</v>
      </c>
      <c r="W311" s="30" t="s">
        <v>173</v>
      </c>
      <c r="X311" s="30" t="s">
        <v>228</v>
      </c>
      <c r="Y311" s="30" t="s">
        <v>806</v>
      </c>
      <c r="Z311" s="30">
        <v>11</v>
      </c>
      <c r="AA311" s="30" t="s">
        <v>575</v>
      </c>
      <c r="AB311" s="30">
        <v>11</v>
      </c>
      <c r="AC311" s="30" t="s">
        <v>177</v>
      </c>
      <c r="AD311" s="30" t="s">
        <v>178</v>
      </c>
      <c r="AE311" s="30" t="s">
        <v>8</v>
      </c>
      <c r="AF311" s="30" t="s">
        <v>28</v>
      </c>
      <c r="AG311" s="30" t="s">
        <v>29</v>
      </c>
      <c r="AH311" s="30" t="s">
        <v>5</v>
      </c>
      <c r="AI311" s="30"/>
    </row>
    <row r="312" spans="1:35" x14ac:dyDescent="0.3">
      <c r="A312" s="30">
        <v>124</v>
      </c>
      <c r="B312" s="30" t="s">
        <v>569</v>
      </c>
      <c r="C312" s="30" t="s">
        <v>570</v>
      </c>
      <c r="D312" s="31">
        <v>46081</v>
      </c>
      <c r="E312" s="30">
        <v>1136</v>
      </c>
      <c r="F312" s="30">
        <v>0</v>
      </c>
      <c r="G312" s="32">
        <v>335437</v>
      </c>
      <c r="H312" s="30">
        <v>35448692171</v>
      </c>
      <c r="I312" s="30" t="s">
        <v>809</v>
      </c>
      <c r="J312" s="30" t="s">
        <v>720</v>
      </c>
      <c r="K312" s="30" t="s">
        <v>29</v>
      </c>
      <c r="L312" s="30" t="s">
        <v>194</v>
      </c>
      <c r="M312" s="30" t="s">
        <v>195</v>
      </c>
      <c r="N312" s="30" t="s">
        <v>667</v>
      </c>
      <c r="O312" s="30">
        <v>36087.5</v>
      </c>
      <c r="P312" s="30">
        <v>9.2950999999999997</v>
      </c>
      <c r="Q312" s="30" t="s">
        <v>168</v>
      </c>
      <c r="R312" s="30" t="s">
        <v>169</v>
      </c>
      <c r="S312" s="30"/>
      <c r="T312" s="30"/>
      <c r="U312" s="30"/>
      <c r="V312" s="30" t="s">
        <v>172</v>
      </c>
      <c r="W312" s="30" t="s">
        <v>173</v>
      </c>
      <c r="X312" s="30" t="s">
        <v>228</v>
      </c>
      <c r="Y312" s="30" t="s">
        <v>806</v>
      </c>
      <c r="Z312" s="30">
        <v>12</v>
      </c>
      <c r="AA312" s="30" t="s">
        <v>575</v>
      </c>
      <c r="AB312" s="30">
        <v>11</v>
      </c>
      <c r="AC312" s="30" t="s">
        <v>177</v>
      </c>
      <c r="AD312" s="30" t="s">
        <v>178</v>
      </c>
      <c r="AE312" s="30" t="s">
        <v>8</v>
      </c>
      <c r="AF312" s="30" t="s">
        <v>28</v>
      </c>
      <c r="AG312" s="30" t="s">
        <v>29</v>
      </c>
      <c r="AH312" s="30" t="s">
        <v>5</v>
      </c>
      <c r="AI312" s="30"/>
    </row>
    <row r="313" spans="1:35" x14ac:dyDescent="0.3">
      <c r="A313" s="30">
        <v>125</v>
      </c>
      <c r="B313" s="30" t="s">
        <v>569</v>
      </c>
      <c r="C313" s="30" t="s">
        <v>570</v>
      </c>
      <c r="D313" s="31">
        <v>46081</v>
      </c>
      <c r="E313" s="30">
        <v>1137</v>
      </c>
      <c r="F313" s="30">
        <v>0</v>
      </c>
      <c r="G313" s="32">
        <v>1249927</v>
      </c>
      <c r="H313" s="30">
        <v>35449942098</v>
      </c>
      <c r="I313" s="30" t="s">
        <v>810</v>
      </c>
      <c r="J313" s="30" t="s">
        <v>720</v>
      </c>
      <c r="K313" s="30" t="s">
        <v>29</v>
      </c>
      <c r="L313" s="30" t="s">
        <v>194</v>
      </c>
      <c r="M313" s="30" t="s">
        <v>195</v>
      </c>
      <c r="N313" s="30" t="s">
        <v>721</v>
      </c>
      <c r="O313" s="30">
        <v>729.65</v>
      </c>
      <c r="P313" s="30">
        <v>1713.05</v>
      </c>
      <c r="Q313" s="30" t="s">
        <v>168</v>
      </c>
      <c r="R313" s="30" t="s">
        <v>169</v>
      </c>
      <c r="S313" s="30"/>
      <c r="T313" s="30"/>
      <c r="U313" s="30"/>
      <c r="V313" s="30" t="s">
        <v>172</v>
      </c>
      <c r="W313" s="30" t="s">
        <v>173</v>
      </c>
      <c r="X313" s="30" t="s">
        <v>228</v>
      </c>
      <c r="Y313" s="30" t="s">
        <v>811</v>
      </c>
      <c r="Z313" s="30">
        <v>9</v>
      </c>
      <c r="AA313" s="30" t="s">
        <v>575</v>
      </c>
      <c r="AB313" s="30">
        <v>11</v>
      </c>
      <c r="AC313" s="30" t="s">
        <v>177</v>
      </c>
      <c r="AD313" s="30" t="s">
        <v>178</v>
      </c>
      <c r="AE313" s="30" t="s">
        <v>8</v>
      </c>
      <c r="AF313" s="30" t="s">
        <v>28</v>
      </c>
      <c r="AG313" s="30" t="s">
        <v>29</v>
      </c>
      <c r="AH313" s="30" t="s">
        <v>5</v>
      </c>
      <c r="AI313" s="30"/>
    </row>
    <row r="314" spans="1:35" x14ac:dyDescent="0.3">
      <c r="A314" s="30">
        <v>126</v>
      </c>
      <c r="B314" s="30" t="s">
        <v>569</v>
      </c>
      <c r="C314" s="30" t="s">
        <v>570</v>
      </c>
      <c r="D314" s="31">
        <v>46081</v>
      </c>
      <c r="E314" s="30">
        <v>1137</v>
      </c>
      <c r="F314" s="30">
        <v>0</v>
      </c>
      <c r="G314" s="32">
        <v>0</v>
      </c>
      <c r="H314" s="30">
        <v>35449942098</v>
      </c>
      <c r="I314" s="30" t="s">
        <v>812</v>
      </c>
      <c r="J314" s="30" t="s">
        <v>720</v>
      </c>
      <c r="K314" s="30" t="s">
        <v>29</v>
      </c>
      <c r="L314" s="30" t="s">
        <v>194</v>
      </c>
      <c r="M314" s="30" t="s">
        <v>195</v>
      </c>
      <c r="N314" s="30" t="s">
        <v>724</v>
      </c>
      <c r="O314" s="30">
        <v>0</v>
      </c>
      <c r="P314" s="30">
        <v>1968.36</v>
      </c>
      <c r="Q314" s="30" t="s">
        <v>168</v>
      </c>
      <c r="R314" s="30" t="s">
        <v>169</v>
      </c>
      <c r="S314" s="30"/>
      <c r="T314" s="30"/>
      <c r="U314" s="30"/>
      <c r="V314" s="30" t="s">
        <v>172</v>
      </c>
      <c r="W314" s="30" t="s">
        <v>173</v>
      </c>
      <c r="X314" s="30" t="s">
        <v>228</v>
      </c>
      <c r="Y314" s="30" t="s">
        <v>811</v>
      </c>
      <c r="Z314" s="30">
        <v>10</v>
      </c>
      <c r="AA314" s="30" t="s">
        <v>575</v>
      </c>
      <c r="AB314" s="30">
        <v>11</v>
      </c>
      <c r="AC314" s="30" t="s">
        <v>177</v>
      </c>
      <c r="AD314" s="30" t="s">
        <v>178</v>
      </c>
      <c r="AE314" s="30" t="s">
        <v>8</v>
      </c>
      <c r="AF314" s="30" t="s">
        <v>28</v>
      </c>
      <c r="AG314" s="30" t="s">
        <v>29</v>
      </c>
      <c r="AH314" s="30" t="s">
        <v>5</v>
      </c>
      <c r="AI314" s="30"/>
    </row>
    <row r="315" spans="1:35" x14ac:dyDescent="0.3">
      <c r="A315" s="30">
        <v>127</v>
      </c>
      <c r="B315" s="30" t="s">
        <v>569</v>
      </c>
      <c r="C315" s="30" t="s">
        <v>570</v>
      </c>
      <c r="D315" s="31">
        <v>46081</v>
      </c>
      <c r="E315" s="30">
        <v>1137</v>
      </c>
      <c r="F315" s="30">
        <v>0</v>
      </c>
      <c r="G315" s="32">
        <v>25058453</v>
      </c>
      <c r="H315" s="30">
        <v>35475000551</v>
      </c>
      <c r="I315" s="30" t="s">
        <v>813</v>
      </c>
      <c r="J315" s="30" t="s">
        <v>720</v>
      </c>
      <c r="K315" s="30" t="s">
        <v>29</v>
      </c>
      <c r="L315" s="30" t="s">
        <v>194</v>
      </c>
      <c r="M315" s="30" t="s">
        <v>195</v>
      </c>
      <c r="N315" s="30" t="s">
        <v>397</v>
      </c>
      <c r="O315" s="30">
        <v>17289.8</v>
      </c>
      <c r="P315" s="30">
        <v>1449.32</v>
      </c>
      <c r="Q315" s="30" t="s">
        <v>168</v>
      </c>
      <c r="R315" s="30" t="s">
        <v>169</v>
      </c>
      <c r="S315" s="30"/>
      <c r="T315" s="30"/>
      <c r="U315" s="30"/>
      <c r="V315" s="30" t="s">
        <v>172</v>
      </c>
      <c r="W315" s="30" t="s">
        <v>173</v>
      </c>
      <c r="X315" s="30" t="s">
        <v>228</v>
      </c>
      <c r="Y315" s="30" t="s">
        <v>811</v>
      </c>
      <c r="Z315" s="30">
        <v>11</v>
      </c>
      <c r="AA315" s="30" t="s">
        <v>575</v>
      </c>
      <c r="AB315" s="30">
        <v>11</v>
      </c>
      <c r="AC315" s="30" t="s">
        <v>177</v>
      </c>
      <c r="AD315" s="30" t="s">
        <v>178</v>
      </c>
      <c r="AE315" s="30" t="s">
        <v>8</v>
      </c>
      <c r="AF315" s="30" t="s">
        <v>28</v>
      </c>
      <c r="AG315" s="30" t="s">
        <v>29</v>
      </c>
      <c r="AH315" s="30" t="s">
        <v>5</v>
      </c>
      <c r="AI315" s="30"/>
    </row>
    <row r="316" spans="1:35" x14ac:dyDescent="0.3">
      <c r="A316" s="30">
        <v>128</v>
      </c>
      <c r="B316" s="30" t="s">
        <v>569</v>
      </c>
      <c r="C316" s="30" t="s">
        <v>570</v>
      </c>
      <c r="D316" s="31">
        <v>46081</v>
      </c>
      <c r="E316" s="30">
        <v>1137</v>
      </c>
      <c r="F316" s="30">
        <v>0</v>
      </c>
      <c r="G316" s="32">
        <v>2055186</v>
      </c>
      <c r="H316" s="30">
        <v>35477055737</v>
      </c>
      <c r="I316" s="30" t="s">
        <v>814</v>
      </c>
      <c r="J316" s="30" t="s">
        <v>720</v>
      </c>
      <c r="K316" s="30" t="s">
        <v>29</v>
      </c>
      <c r="L316" s="30" t="s">
        <v>194</v>
      </c>
      <c r="M316" s="30" t="s">
        <v>195</v>
      </c>
      <c r="N316" s="30" t="s">
        <v>667</v>
      </c>
      <c r="O316" s="30">
        <v>220364.55</v>
      </c>
      <c r="P316" s="30">
        <v>9.3262999999999998</v>
      </c>
      <c r="Q316" s="30" t="s">
        <v>168</v>
      </c>
      <c r="R316" s="30" t="s">
        <v>169</v>
      </c>
      <c r="S316" s="30"/>
      <c r="T316" s="30"/>
      <c r="U316" s="30"/>
      <c r="V316" s="30" t="s">
        <v>172</v>
      </c>
      <c r="W316" s="30" t="s">
        <v>173</v>
      </c>
      <c r="X316" s="30" t="s">
        <v>228</v>
      </c>
      <c r="Y316" s="30" t="s">
        <v>811</v>
      </c>
      <c r="Z316" s="30">
        <v>12</v>
      </c>
      <c r="AA316" s="30" t="s">
        <v>575</v>
      </c>
      <c r="AB316" s="30">
        <v>11</v>
      </c>
      <c r="AC316" s="30" t="s">
        <v>177</v>
      </c>
      <c r="AD316" s="30" t="s">
        <v>178</v>
      </c>
      <c r="AE316" s="30" t="s">
        <v>8</v>
      </c>
      <c r="AF316" s="30" t="s">
        <v>28</v>
      </c>
      <c r="AG316" s="30" t="s">
        <v>29</v>
      </c>
      <c r="AH316" s="30" t="s">
        <v>5</v>
      </c>
      <c r="AI316" s="30"/>
    </row>
    <row r="317" spans="1:35" x14ac:dyDescent="0.3">
      <c r="A317" s="30">
        <v>129</v>
      </c>
      <c r="B317" s="30" t="s">
        <v>569</v>
      </c>
      <c r="C317" s="30" t="s">
        <v>570</v>
      </c>
      <c r="D317" s="31">
        <v>46081</v>
      </c>
      <c r="E317" s="30">
        <v>1143</v>
      </c>
      <c r="F317" s="30">
        <v>0</v>
      </c>
      <c r="G317" s="32">
        <v>1344125628</v>
      </c>
      <c r="H317" s="30">
        <v>36821181365</v>
      </c>
      <c r="I317" s="30" t="s">
        <v>815</v>
      </c>
      <c r="J317" s="30" t="s">
        <v>693</v>
      </c>
      <c r="K317" s="30" t="s">
        <v>694</v>
      </c>
      <c r="L317" s="30" t="s">
        <v>194</v>
      </c>
      <c r="M317" s="30" t="s">
        <v>195</v>
      </c>
      <c r="N317" s="30" t="s">
        <v>167</v>
      </c>
      <c r="O317" s="30">
        <v>1344125628</v>
      </c>
      <c r="P317" s="30">
        <v>1</v>
      </c>
      <c r="Q317" s="30" t="s">
        <v>168</v>
      </c>
      <c r="R317" s="30" t="s">
        <v>169</v>
      </c>
      <c r="S317" s="30"/>
      <c r="T317" s="30"/>
      <c r="U317" s="30"/>
      <c r="V317" s="30" t="s">
        <v>172</v>
      </c>
      <c r="W317" s="30" t="s">
        <v>173</v>
      </c>
      <c r="X317" s="30" t="s">
        <v>228</v>
      </c>
      <c r="Y317" s="30" t="s">
        <v>816</v>
      </c>
      <c r="Z317" s="30">
        <v>7</v>
      </c>
      <c r="AA317" s="30" t="s">
        <v>575</v>
      </c>
      <c r="AB317" s="30">
        <v>11</v>
      </c>
      <c r="AC317" s="30" t="s">
        <v>177</v>
      </c>
      <c r="AD317" s="30" t="s">
        <v>178</v>
      </c>
      <c r="AE317" s="30" t="s">
        <v>8</v>
      </c>
      <c r="AF317" s="30" t="s">
        <v>28</v>
      </c>
      <c r="AG317" s="30" t="s">
        <v>11</v>
      </c>
      <c r="AH317" s="30" t="s">
        <v>5</v>
      </c>
      <c r="AI317" s="30" t="s">
        <v>34</v>
      </c>
    </row>
    <row r="318" spans="1:35" x14ac:dyDescent="0.3">
      <c r="A318" s="30">
        <v>130</v>
      </c>
      <c r="B318" s="30" t="s">
        <v>569</v>
      </c>
      <c r="C318" s="30" t="s">
        <v>570</v>
      </c>
      <c r="D318" s="31">
        <v>46081</v>
      </c>
      <c r="E318" s="30">
        <v>1143</v>
      </c>
      <c r="F318" s="30">
        <v>0</v>
      </c>
      <c r="G318" s="32">
        <v>866742420</v>
      </c>
      <c r="H318" s="30">
        <v>37687923785</v>
      </c>
      <c r="I318" s="30" t="s">
        <v>817</v>
      </c>
      <c r="J318" s="30" t="s">
        <v>697</v>
      </c>
      <c r="K318" s="30" t="s">
        <v>698</v>
      </c>
      <c r="L318" s="30" t="s">
        <v>194</v>
      </c>
      <c r="M318" s="30" t="s">
        <v>195</v>
      </c>
      <c r="N318" s="30" t="s">
        <v>167</v>
      </c>
      <c r="O318" s="30">
        <v>866742420</v>
      </c>
      <c r="P318" s="30">
        <v>1</v>
      </c>
      <c r="Q318" s="30" t="s">
        <v>168</v>
      </c>
      <c r="R318" s="30" t="s">
        <v>169</v>
      </c>
      <c r="S318" s="30"/>
      <c r="T318" s="30"/>
      <c r="U318" s="30"/>
      <c r="V318" s="30" t="s">
        <v>172</v>
      </c>
      <c r="W318" s="30" t="s">
        <v>173</v>
      </c>
      <c r="X318" s="30" t="s">
        <v>228</v>
      </c>
      <c r="Y318" s="30" t="s">
        <v>816</v>
      </c>
      <c r="Z318" s="30">
        <v>8</v>
      </c>
      <c r="AA318" s="30" t="s">
        <v>575</v>
      </c>
      <c r="AB318" s="30">
        <v>11</v>
      </c>
      <c r="AC318" s="30" t="s">
        <v>177</v>
      </c>
      <c r="AD318" s="30" t="s">
        <v>178</v>
      </c>
      <c r="AE318" s="30" t="s">
        <v>8</v>
      </c>
      <c r="AF318" s="30" t="s">
        <v>28</v>
      </c>
      <c r="AG318" s="30" t="s">
        <v>11</v>
      </c>
      <c r="AH318" s="30" t="s">
        <v>5</v>
      </c>
      <c r="AI318" s="30" t="s">
        <v>34</v>
      </c>
    </row>
    <row r="319" spans="1:35" x14ac:dyDescent="0.3">
      <c r="A319" s="30">
        <v>131</v>
      </c>
      <c r="B319" s="30" t="s">
        <v>569</v>
      </c>
      <c r="C319" s="30" t="s">
        <v>570</v>
      </c>
      <c r="D319" s="31">
        <v>46081</v>
      </c>
      <c r="E319" s="30">
        <v>1143</v>
      </c>
      <c r="F319" s="30">
        <v>0</v>
      </c>
      <c r="G319" s="32">
        <v>2186830292</v>
      </c>
      <c r="H319" s="30">
        <v>39874754077</v>
      </c>
      <c r="I319" s="30" t="s">
        <v>818</v>
      </c>
      <c r="J319" s="30" t="s">
        <v>700</v>
      </c>
      <c r="K319" s="30" t="s">
        <v>701</v>
      </c>
      <c r="L319" s="30" t="s">
        <v>194</v>
      </c>
      <c r="M319" s="30" t="s">
        <v>195</v>
      </c>
      <c r="N319" s="30" t="s">
        <v>167</v>
      </c>
      <c r="O319" s="30">
        <v>2186830292</v>
      </c>
      <c r="P319" s="30">
        <v>1</v>
      </c>
      <c r="Q319" s="30" t="s">
        <v>168</v>
      </c>
      <c r="R319" s="30" t="s">
        <v>169</v>
      </c>
      <c r="S319" s="30"/>
      <c r="T319" s="30"/>
      <c r="U319" s="30"/>
      <c r="V319" s="30" t="s">
        <v>172</v>
      </c>
      <c r="W319" s="30" t="s">
        <v>173</v>
      </c>
      <c r="X319" s="30" t="s">
        <v>228</v>
      </c>
      <c r="Y319" s="30" t="s">
        <v>816</v>
      </c>
      <c r="Z319" s="30">
        <v>9</v>
      </c>
      <c r="AA319" s="30" t="s">
        <v>575</v>
      </c>
      <c r="AB319" s="30">
        <v>11</v>
      </c>
      <c r="AC319" s="30" t="s">
        <v>177</v>
      </c>
      <c r="AD319" s="30" t="s">
        <v>178</v>
      </c>
      <c r="AE319" s="30" t="s">
        <v>8</v>
      </c>
      <c r="AF319" s="30" t="s">
        <v>28</v>
      </c>
      <c r="AG319" s="30" t="s">
        <v>11</v>
      </c>
      <c r="AH319" s="30" t="s">
        <v>5</v>
      </c>
      <c r="AI319" s="30" t="s">
        <v>34</v>
      </c>
    </row>
    <row r="320" spans="1:35" x14ac:dyDescent="0.3">
      <c r="A320" s="30">
        <v>132</v>
      </c>
      <c r="B320" s="30" t="s">
        <v>569</v>
      </c>
      <c r="C320" s="30" t="s">
        <v>570</v>
      </c>
      <c r="D320" s="31">
        <v>46081</v>
      </c>
      <c r="E320" s="30">
        <v>1142</v>
      </c>
      <c r="F320" s="30">
        <v>0</v>
      </c>
      <c r="G320" s="32">
        <v>78262708</v>
      </c>
      <c r="H320" s="30">
        <v>39953016785</v>
      </c>
      <c r="I320" s="30" t="s">
        <v>819</v>
      </c>
      <c r="J320" s="30" t="s">
        <v>703</v>
      </c>
      <c r="K320" s="30" t="s">
        <v>704</v>
      </c>
      <c r="L320" s="30" t="s">
        <v>194</v>
      </c>
      <c r="M320" s="30" t="s">
        <v>195</v>
      </c>
      <c r="N320" s="30" t="s">
        <v>167</v>
      </c>
      <c r="O320" s="30">
        <v>78262708</v>
      </c>
      <c r="P320" s="30">
        <v>1</v>
      </c>
      <c r="Q320" s="30" t="s">
        <v>168</v>
      </c>
      <c r="R320" s="30" t="s">
        <v>169</v>
      </c>
      <c r="S320" s="30"/>
      <c r="T320" s="30"/>
      <c r="U320" s="30"/>
      <c r="V320" s="30" t="s">
        <v>172</v>
      </c>
      <c r="W320" s="30" t="s">
        <v>173</v>
      </c>
      <c r="X320" s="30" t="s">
        <v>228</v>
      </c>
      <c r="Y320" s="30" t="s">
        <v>820</v>
      </c>
      <c r="Z320" s="30">
        <v>5</v>
      </c>
      <c r="AA320" s="30" t="s">
        <v>575</v>
      </c>
      <c r="AB320" s="30">
        <v>11</v>
      </c>
      <c r="AC320" s="30" t="s">
        <v>177</v>
      </c>
      <c r="AD320" s="30" t="s">
        <v>178</v>
      </c>
      <c r="AE320" s="30" t="s">
        <v>8</v>
      </c>
      <c r="AF320" s="30" t="s">
        <v>45</v>
      </c>
      <c r="AG320" s="30" t="s">
        <v>51</v>
      </c>
      <c r="AH320" s="30" t="s">
        <v>5</v>
      </c>
      <c r="AI320" s="30" t="s">
        <v>52</v>
      </c>
    </row>
    <row r="321" spans="1:35" x14ac:dyDescent="0.3">
      <c r="A321" s="30">
        <v>133</v>
      </c>
      <c r="B321" s="30" t="s">
        <v>569</v>
      </c>
      <c r="C321" s="30" t="s">
        <v>570</v>
      </c>
      <c r="D321" s="31">
        <v>46081</v>
      </c>
      <c r="E321" s="30">
        <v>1142</v>
      </c>
      <c r="F321" s="30">
        <v>0</v>
      </c>
      <c r="G321" s="32">
        <v>43878003</v>
      </c>
      <c r="H321" s="30">
        <v>39996894788</v>
      </c>
      <c r="I321" s="30" t="s">
        <v>821</v>
      </c>
      <c r="J321" s="30" t="s">
        <v>703</v>
      </c>
      <c r="K321" s="30" t="s">
        <v>704</v>
      </c>
      <c r="L321" s="30" t="s">
        <v>194</v>
      </c>
      <c r="M321" s="30" t="s">
        <v>195</v>
      </c>
      <c r="N321" s="30" t="s">
        <v>397</v>
      </c>
      <c r="O321" s="30">
        <v>30274.89</v>
      </c>
      <c r="P321" s="30">
        <v>1449.32</v>
      </c>
      <c r="Q321" s="30" t="s">
        <v>168</v>
      </c>
      <c r="R321" s="30" t="s">
        <v>169</v>
      </c>
      <c r="S321" s="30"/>
      <c r="T321" s="30"/>
      <c r="U321" s="30"/>
      <c r="V321" s="30" t="s">
        <v>172</v>
      </c>
      <c r="W321" s="30" t="s">
        <v>173</v>
      </c>
      <c r="X321" s="30" t="s">
        <v>228</v>
      </c>
      <c r="Y321" s="30" t="s">
        <v>820</v>
      </c>
      <c r="Z321" s="30">
        <v>6</v>
      </c>
      <c r="AA321" s="30" t="s">
        <v>575</v>
      </c>
      <c r="AB321" s="30">
        <v>11</v>
      </c>
      <c r="AC321" s="30" t="s">
        <v>177</v>
      </c>
      <c r="AD321" s="30" t="s">
        <v>178</v>
      </c>
      <c r="AE321" s="30" t="s">
        <v>8</v>
      </c>
      <c r="AF321" s="30" t="s">
        <v>45</v>
      </c>
      <c r="AG321" s="30" t="s">
        <v>51</v>
      </c>
      <c r="AH321" s="30" t="s">
        <v>5</v>
      </c>
      <c r="AI321" s="30" t="s">
        <v>52</v>
      </c>
    </row>
    <row r="322" spans="1:35" x14ac:dyDescent="0.3">
      <c r="A322" s="30">
        <v>134</v>
      </c>
      <c r="B322" s="30" t="s">
        <v>569</v>
      </c>
      <c r="C322" s="30" t="s">
        <v>570</v>
      </c>
      <c r="D322" s="31">
        <v>46081</v>
      </c>
      <c r="E322" s="30">
        <v>1144</v>
      </c>
      <c r="F322" s="30">
        <v>0</v>
      </c>
      <c r="G322" s="32">
        <v>428966</v>
      </c>
      <c r="H322" s="30">
        <v>39997323754</v>
      </c>
      <c r="I322" s="30" t="s">
        <v>822</v>
      </c>
      <c r="J322" s="30" t="s">
        <v>685</v>
      </c>
      <c r="K322" s="30" t="s">
        <v>686</v>
      </c>
      <c r="L322" s="30" t="s">
        <v>194</v>
      </c>
      <c r="M322" s="30" t="s">
        <v>195</v>
      </c>
      <c r="N322" s="30" t="s">
        <v>397</v>
      </c>
      <c r="O322" s="30">
        <v>294.52</v>
      </c>
      <c r="P322" s="30">
        <v>1456.51</v>
      </c>
      <c r="Q322" s="30" t="s">
        <v>168</v>
      </c>
      <c r="R322" s="30" t="s">
        <v>169</v>
      </c>
      <c r="S322" s="30"/>
      <c r="T322" s="30"/>
      <c r="U322" s="30"/>
      <c r="V322" s="30" t="s">
        <v>172</v>
      </c>
      <c r="W322" s="30" t="s">
        <v>173</v>
      </c>
      <c r="X322" s="30" t="s">
        <v>228</v>
      </c>
      <c r="Y322" s="30" t="s">
        <v>823</v>
      </c>
      <c r="Z322" s="30">
        <v>3</v>
      </c>
      <c r="AA322" s="30" t="s">
        <v>575</v>
      </c>
      <c r="AB322" s="30">
        <v>11</v>
      </c>
      <c r="AC322" s="30" t="s">
        <v>177</v>
      </c>
      <c r="AD322" s="30" t="s">
        <v>178</v>
      </c>
      <c r="AE322" s="30" t="s">
        <v>8</v>
      </c>
      <c r="AF322" s="30" t="s">
        <v>38</v>
      </c>
      <c r="AG322" s="30" t="s">
        <v>12</v>
      </c>
      <c r="AH322" s="30" t="s">
        <v>5</v>
      </c>
      <c r="AI322" s="30"/>
    </row>
    <row r="323" spans="1:35" x14ac:dyDescent="0.3">
      <c r="A323" s="30">
        <v>135</v>
      </c>
      <c r="B323" s="30" t="s">
        <v>569</v>
      </c>
      <c r="C323" s="30" t="s">
        <v>570</v>
      </c>
      <c r="D323" s="31">
        <v>46081</v>
      </c>
      <c r="E323" s="30">
        <v>1168</v>
      </c>
      <c r="F323" s="30">
        <v>0</v>
      </c>
      <c r="G323" s="32">
        <v>5621294</v>
      </c>
      <c r="H323" s="30">
        <v>40002945048</v>
      </c>
      <c r="I323" s="30" t="s">
        <v>824</v>
      </c>
      <c r="J323" s="30" t="s">
        <v>708</v>
      </c>
      <c r="K323" s="30" t="s">
        <v>42</v>
      </c>
      <c r="L323" s="30" t="s">
        <v>670</v>
      </c>
      <c r="M323" s="30" t="s">
        <v>671</v>
      </c>
      <c r="N323" s="30" t="s">
        <v>397</v>
      </c>
      <c r="O323" s="30">
        <v>3878.57</v>
      </c>
      <c r="P323" s="30">
        <v>1449.32</v>
      </c>
      <c r="Q323" s="30" t="s">
        <v>716</v>
      </c>
      <c r="R323" s="30" t="s">
        <v>717</v>
      </c>
      <c r="S323" s="30"/>
      <c r="T323" s="30"/>
      <c r="U323" s="30"/>
      <c r="V323" s="30" t="s">
        <v>172</v>
      </c>
      <c r="W323" s="30" t="s">
        <v>173</v>
      </c>
      <c r="X323" s="30" t="s">
        <v>589</v>
      </c>
      <c r="Y323" s="30" t="s">
        <v>825</v>
      </c>
      <c r="Z323" s="30">
        <v>1</v>
      </c>
      <c r="AA323" s="30" t="s">
        <v>197</v>
      </c>
      <c r="AB323" s="30">
        <v>11</v>
      </c>
      <c r="AC323" s="30" t="s">
        <v>177</v>
      </c>
      <c r="AD323" s="30" t="s">
        <v>178</v>
      </c>
      <c r="AE323" s="30" t="s">
        <v>8</v>
      </c>
      <c r="AF323" s="30" t="s">
        <v>38</v>
      </c>
      <c r="AG323" s="30" t="s">
        <v>42</v>
      </c>
      <c r="AH323" s="30" t="s">
        <v>5</v>
      </c>
      <c r="AI323" s="30"/>
    </row>
    <row r="324" spans="1:35" x14ac:dyDescent="0.3">
      <c r="A324" s="30">
        <v>136</v>
      </c>
      <c r="B324" s="30" t="s">
        <v>569</v>
      </c>
      <c r="C324" s="30" t="s">
        <v>570</v>
      </c>
      <c r="D324" s="31">
        <v>46081</v>
      </c>
      <c r="E324" s="30">
        <v>1168</v>
      </c>
      <c r="F324" s="30">
        <v>0</v>
      </c>
      <c r="G324" s="32">
        <v>2134207</v>
      </c>
      <c r="H324" s="30">
        <v>40005079255</v>
      </c>
      <c r="I324" s="30" t="s">
        <v>826</v>
      </c>
      <c r="J324" s="30" t="s">
        <v>708</v>
      </c>
      <c r="K324" s="30" t="s">
        <v>42</v>
      </c>
      <c r="L324" s="30" t="s">
        <v>194</v>
      </c>
      <c r="M324" s="30" t="s">
        <v>195</v>
      </c>
      <c r="N324" s="30" t="s">
        <v>397</v>
      </c>
      <c r="O324" s="30">
        <v>1472.56</v>
      </c>
      <c r="P324" s="30">
        <v>1449.32</v>
      </c>
      <c r="Q324" s="30" t="s">
        <v>827</v>
      </c>
      <c r="R324" s="30" t="s">
        <v>828</v>
      </c>
      <c r="S324" s="30"/>
      <c r="T324" s="30"/>
      <c r="U324" s="30"/>
      <c r="V324" s="30" t="s">
        <v>172</v>
      </c>
      <c r="W324" s="30" t="s">
        <v>173</v>
      </c>
      <c r="X324" s="30" t="s">
        <v>589</v>
      </c>
      <c r="Y324" s="30" t="s">
        <v>825</v>
      </c>
      <c r="Z324" s="30">
        <v>7</v>
      </c>
      <c r="AA324" s="30" t="s">
        <v>197</v>
      </c>
      <c r="AB324" s="30">
        <v>11</v>
      </c>
      <c r="AC324" s="30" t="s">
        <v>177</v>
      </c>
      <c r="AD324" s="30" t="s">
        <v>178</v>
      </c>
      <c r="AE324" s="30" t="s">
        <v>8</v>
      </c>
      <c r="AF324" s="30" t="s">
        <v>38</v>
      </c>
      <c r="AG324" s="30" t="s">
        <v>42</v>
      </c>
      <c r="AH324" s="30" t="s">
        <v>5</v>
      </c>
      <c r="AI324" s="30"/>
    </row>
    <row r="325" spans="1:35" x14ac:dyDescent="0.3">
      <c r="A325" s="30">
        <v>137</v>
      </c>
      <c r="B325" s="30" t="s">
        <v>569</v>
      </c>
      <c r="C325" s="30" t="s">
        <v>570</v>
      </c>
      <c r="D325" s="31">
        <v>46081</v>
      </c>
      <c r="E325" s="30">
        <v>1168</v>
      </c>
      <c r="F325" s="30">
        <v>0</v>
      </c>
      <c r="G325" s="32">
        <v>2689</v>
      </c>
      <c r="H325" s="30">
        <v>40005081944</v>
      </c>
      <c r="I325" s="30" t="s">
        <v>829</v>
      </c>
      <c r="J325" s="30" t="s">
        <v>708</v>
      </c>
      <c r="K325" s="30" t="s">
        <v>42</v>
      </c>
      <c r="L325" s="30" t="s">
        <v>194</v>
      </c>
      <c r="M325" s="30" t="s">
        <v>195</v>
      </c>
      <c r="N325" s="30" t="s">
        <v>397</v>
      </c>
      <c r="O325" s="30">
        <v>1.85</v>
      </c>
      <c r="P325" s="30">
        <v>1449.32</v>
      </c>
      <c r="Q325" s="30" t="s">
        <v>622</v>
      </c>
      <c r="R325" s="30" t="s">
        <v>623</v>
      </c>
      <c r="S325" s="30"/>
      <c r="T325" s="30"/>
      <c r="U325" s="30"/>
      <c r="V325" s="30" t="s">
        <v>172</v>
      </c>
      <c r="W325" s="30" t="s">
        <v>173</v>
      </c>
      <c r="X325" s="30" t="s">
        <v>589</v>
      </c>
      <c r="Y325" s="30" t="s">
        <v>825</v>
      </c>
      <c r="Z325" s="30">
        <v>13</v>
      </c>
      <c r="AA325" s="30" t="s">
        <v>197</v>
      </c>
      <c r="AB325" s="30">
        <v>11</v>
      </c>
      <c r="AC325" s="30" t="s">
        <v>177</v>
      </c>
      <c r="AD325" s="30" t="s">
        <v>178</v>
      </c>
      <c r="AE325" s="30" t="s">
        <v>8</v>
      </c>
      <c r="AF325" s="30" t="s">
        <v>38</v>
      </c>
      <c r="AG325" s="30" t="s">
        <v>42</v>
      </c>
      <c r="AH325" s="30" t="s">
        <v>5</v>
      </c>
      <c r="AI325" s="30"/>
    </row>
    <row r="326" spans="1:35" x14ac:dyDescent="0.3">
      <c r="A326" s="30">
        <v>138</v>
      </c>
      <c r="B326" s="30" t="s">
        <v>569</v>
      </c>
      <c r="C326" s="30" t="s">
        <v>570</v>
      </c>
      <c r="D326" s="31">
        <v>46081</v>
      </c>
      <c r="E326" s="30">
        <v>1168</v>
      </c>
      <c r="F326" s="30">
        <v>0</v>
      </c>
      <c r="G326" s="32">
        <v>816725</v>
      </c>
      <c r="H326" s="30">
        <v>40005898669</v>
      </c>
      <c r="I326" s="30" t="s">
        <v>830</v>
      </c>
      <c r="J326" s="30" t="s">
        <v>708</v>
      </c>
      <c r="K326" s="30" t="s">
        <v>42</v>
      </c>
      <c r="L326" s="30" t="s">
        <v>194</v>
      </c>
      <c r="M326" s="30" t="s">
        <v>195</v>
      </c>
      <c r="N326" s="30" t="s">
        <v>397</v>
      </c>
      <c r="O326" s="30">
        <v>563.52</v>
      </c>
      <c r="P326" s="30">
        <v>1449.32</v>
      </c>
      <c r="Q326" s="30" t="s">
        <v>622</v>
      </c>
      <c r="R326" s="30" t="s">
        <v>623</v>
      </c>
      <c r="S326" s="30"/>
      <c r="T326" s="30"/>
      <c r="U326" s="30"/>
      <c r="V326" s="30" t="s">
        <v>172</v>
      </c>
      <c r="W326" s="30" t="s">
        <v>173</v>
      </c>
      <c r="X326" s="30" t="s">
        <v>589</v>
      </c>
      <c r="Y326" s="30" t="s">
        <v>825</v>
      </c>
      <c r="Z326" s="30">
        <v>16</v>
      </c>
      <c r="AA326" s="30" t="s">
        <v>197</v>
      </c>
      <c r="AB326" s="30">
        <v>11</v>
      </c>
      <c r="AC326" s="30" t="s">
        <v>177</v>
      </c>
      <c r="AD326" s="30" t="s">
        <v>178</v>
      </c>
      <c r="AE326" s="30" t="s">
        <v>8</v>
      </c>
      <c r="AF326" s="30" t="s">
        <v>38</v>
      </c>
      <c r="AG326" s="30" t="s">
        <v>42</v>
      </c>
      <c r="AH326" s="30" t="s">
        <v>5</v>
      </c>
      <c r="AI326" s="30"/>
    </row>
    <row r="327" spans="1:35" x14ac:dyDescent="0.3">
      <c r="A327" s="30">
        <v>139</v>
      </c>
      <c r="B327" s="30" t="s">
        <v>569</v>
      </c>
      <c r="C327" s="30" t="s">
        <v>570</v>
      </c>
      <c r="D327" s="31">
        <v>46081</v>
      </c>
      <c r="E327" s="30">
        <v>1169</v>
      </c>
      <c r="F327" s="30">
        <v>0</v>
      </c>
      <c r="G327" s="32">
        <v>251092</v>
      </c>
      <c r="H327" s="30">
        <v>40006149761</v>
      </c>
      <c r="I327" s="30" t="s">
        <v>831</v>
      </c>
      <c r="J327" s="30" t="s">
        <v>708</v>
      </c>
      <c r="K327" s="30" t="s">
        <v>42</v>
      </c>
      <c r="L327" s="30" t="s">
        <v>670</v>
      </c>
      <c r="M327" s="30" t="s">
        <v>671</v>
      </c>
      <c r="N327" s="30" t="s">
        <v>397</v>
      </c>
      <c r="O327" s="30">
        <v>171.11</v>
      </c>
      <c r="P327" s="30">
        <v>1467.4</v>
      </c>
      <c r="Q327" s="30" t="s">
        <v>716</v>
      </c>
      <c r="R327" s="30" t="s">
        <v>717</v>
      </c>
      <c r="S327" s="30"/>
      <c r="T327" s="30"/>
      <c r="U327" s="30"/>
      <c r="V327" s="30" t="s">
        <v>172</v>
      </c>
      <c r="W327" s="30" t="s">
        <v>173</v>
      </c>
      <c r="X327" s="30" t="s">
        <v>589</v>
      </c>
      <c r="Y327" s="30" t="s">
        <v>832</v>
      </c>
      <c r="Z327" s="30">
        <v>1</v>
      </c>
      <c r="AA327" s="30" t="s">
        <v>197</v>
      </c>
      <c r="AB327" s="30">
        <v>11</v>
      </c>
      <c r="AC327" s="30" t="s">
        <v>177</v>
      </c>
      <c r="AD327" s="30" t="s">
        <v>178</v>
      </c>
      <c r="AE327" s="30" t="s">
        <v>8</v>
      </c>
      <c r="AF327" s="30" t="s">
        <v>38</v>
      </c>
      <c r="AG327" s="30" t="s">
        <v>42</v>
      </c>
      <c r="AH327" s="30" t="s">
        <v>5</v>
      </c>
      <c r="AI327" s="30"/>
    </row>
    <row r="328" spans="1:35" x14ac:dyDescent="0.3">
      <c r="A328" s="30">
        <v>140</v>
      </c>
      <c r="B328" s="30" t="s">
        <v>569</v>
      </c>
      <c r="C328" s="30" t="s">
        <v>570</v>
      </c>
      <c r="D328" s="31">
        <v>46081</v>
      </c>
      <c r="E328" s="30">
        <v>1169</v>
      </c>
      <c r="F328" s="30">
        <v>0</v>
      </c>
      <c r="G328" s="32">
        <v>42910</v>
      </c>
      <c r="H328" s="30">
        <v>40006192671</v>
      </c>
      <c r="I328" s="30" t="s">
        <v>833</v>
      </c>
      <c r="J328" s="30" t="s">
        <v>708</v>
      </c>
      <c r="K328" s="30" t="s">
        <v>42</v>
      </c>
      <c r="L328" s="30" t="s">
        <v>670</v>
      </c>
      <c r="M328" s="30" t="s">
        <v>671</v>
      </c>
      <c r="N328" s="30" t="s">
        <v>397</v>
      </c>
      <c r="O328" s="30">
        <v>29.24</v>
      </c>
      <c r="P328" s="30">
        <v>1467.4</v>
      </c>
      <c r="Q328" s="30" t="s">
        <v>827</v>
      </c>
      <c r="R328" s="30" t="s">
        <v>828</v>
      </c>
      <c r="S328" s="30"/>
      <c r="T328" s="30"/>
      <c r="U328" s="30"/>
      <c r="V328" s="30" t="s">
        <v>172</v>
      </c>
      <c r="W328" s="30" t="s">
        <v>173</v>
      </c>
      <c r="X328" s="30" t="s">
        <v>589</v>
      </c>
      <c r="Y328" s="30" t="s">
        <v>832</v>
      </c>
      <c r="Z328" s="30">
        <v>7</v>
      </c>
      <c r="AA328" s="30" t="s">
        <v>197</v>
      </c>
      <c r="AB328" s="30">
        <v>11</v>
      </c>
      <c r="AC328" s="30" t="s">
        <v>177</v>
      </c>
      <c r="AD328" s="30" t="s">
        <v>178</v>
      </c>
      <c r="AE328" s="30" t="s">
        <v>8</v>
      </c>
      <c r="AF328" s="30" t="s">
        <v>38</v>
      </c>
      <c r="AG328" s="30" t="s">
        <v>42</v>
      </c>
      <c r="AH328" s="30" t="s">
        <v>5</v>
      </c>
      <c r="AI328" s="30"/>
    </row>
    <row r="329" spans="1:35" x14ac:dyDescent="0.3">
      <c r="A329" s="30">
        <v>141</v>
      </c>
      <c r="B329" s="30" t="s">
        <v>569</v>
      </c>
      <c r="C329" s="30" t="s">
        <v>570</v>
      </c>
      <c r="D329" s="31">
        <v>46081</v>
      </c>
      <c r="E329" s="30">
        <v>1169</v>
      </c>
      <c r="F329" s="30">
        <v>0</v>
      </c>
      <c r="G329" s="32">
        <v>4990421</v>
      </c>
      <c r="H329" s="30">
        <v>40011183092</v>
      </c>
      <c r="I329" s="30" t="s">
        <v>834</v>
      </c>
      <c r="J329" s="30" t="s">
        <v>708</v>
      </c>
      <c r="K329" s="30" t="s">
        <v>42</v>
      </c>
      <c r="L329" s="30" t="s">
        <v>670</v>
      </c>
      <c r="M329" s="30" t="s">
        <v>671</v>
      </c>
      <c r="N329" s="30" t="s">
        <v>397</v>
      </c>
      <c r="O329" s="30">
        <v>3400.86</v>
      </c>
      <c r="P329" s="30">
        <v>1467.4</v>
      </c>
      <c r="Q329" s="30" t="s">
        <v>622</v>
      </c>
      <c r="R329" s="30" t="s">
        <v>623</v>
      </c>
      <c r="S329" s="30"/>
      <c r="T329" s="30"/>
      <c r="U329" s="30"/>
      <c r="V329" s="30" t="s">
        <v>172</v>
      </c>
      <c r="W329" s="30" t="s">
        <v>173</v>
      </c>
      <c r="X329" s="30" t="s">
        <v>589</v>
      </c>
      <c r="Y329" s="30" t="s">
        <v>832</v>
      </c>
      <c r="Z329" s="30">
        <v>13</v>
      </c>
      <c r="AA329" s="30" t="s">
        <v>197</v>
      </c>
      <c r="AB329" s="30">
        <v>11</v>
      </c>
      <c r="AC329" s="30" t="s">
        <v>177</v>
      </c>
      <c r="AD329" s="30" t="s">
        <v>178</v>
      </c>
      <c r="AE329" s="30" t="s">
        <v>8</v>
      </c>
      <c r="AF329" s="30" t="s">
        <v>38</v>
      </c>
      <c r="AG329" s="30" t="s">
        <v>42</v>
      </c>
      <c r="AH329" s="30" t="s">
        <v>5</v>
      </c>
      <c r="AI329" s="30"/>
    </row>
    <row r="330" spans="1:35" x14ac:dyDescent="0.3">
      <c r="A330" s="30">
        <v>142</v>
      </c>
      <c r="B330" s="30" t="s">
        <v>569</v>
      </c>
      <c r="C330" s="30" t="s">
        <v>570</v>
      </c>
      <c r="D330" s="31">
        <v>46081</v>
      </c>
      <c r="E330" s="30">
        <v>1177</v>
      </c>
      <c r="F330" s="30">
        <v>0</v>
      </c>
      <c r="G330" s="32">
        <v>1434478062</v>
      </c>
      <c r="H330" s="30">
        <v>41445661154</v>
      </c>
      <c r="I330" s="30" t="s">
        <v>835</v>
      </c>
      <c r="J330" s="30" t="s">
        <v>685</v>
      </c>
      <c r="K330" s="30" t="s">
        <v>686</v>
      </c>
      <c r="L330" s="30" t="s">
        <v>194</v>
      </c>
      <c r="M330" s="30" t="s">
        <v>195</v>
      </c>
      <c r="N330" s="30" t="s">
        <v>397</v>
      </c>
      <c r="O330" s="30">
        <v>989759.38</v>
      </c>
      <c r="P330" s="30">
        <v>1449.32</v>
      </c>
      <c r="Q330" s="30" t="s">
        <v>168</v>
      </c>
      <c r="R330" s="30" t="s">
        <v>169</v>
      </c>
      <c r="S330" s="30"/>
      <c r="T330" s="30"/>
      <c r="U330" s="30"/>
      <c r="V330" s="30" t="s">
        <v>172</v>
      </c>
      <c r="W330" s="30" t="s">
        <v>173</v>
      </c>
      <c r="X330" s="30" t="s">
        <v>228</v>
      </c>
      <c r="Y330" s="30" t="s">
        <v>836</v>
      </c>
      <c r="Z330" s="30">
        <v>3</v>
      </c>
      <c r="AA330" s="30" t="s">
        <v>575</v>
      </c>
      <c r="AB330" s="30">
        <v>11</v>
      </c>
      <c r="AC330" s="30" t="s">
        <v>177</v>
      </c>
      <c r="AD330" s="30" t="s">
        <v>178</v>
      </c>
      <c r="AE330" s="30" t="s">
        <v>8</v>
      </c>
      <c r="AF330" s="30" t="s">
        <v>38</v>
      </c>
      <c r="AG330" s="30" t="s">
        <v>12</v>
      </c>
      <c r="AH330" s="30" t="s">
        <v>5</v>
      </c>
      <c r="AI330" s="30"/>
    </row>
    <row r="331" spans="1:35" x14ac:dyDescent="0.3">
      <c r="A331" s="30">
        <v>147</v>
      </c>
      <c r="B331" s="30" t="s">
        <v>569</v>
      </c>
      <c r="C331" s="30" t="s">
        <v>570</v>
      </c>
      <c r="D331" s="31">
        <v>46081</v>
      </c>
      <c r="E331" s="30">
        <v>987</v>
      </c>
      <c r="F331" s="30">
        <v>0</v>
      </c>
      <c r="G331" s="32">
        <v>225000</v>
      </c>
      <c r="H331" s="30">
        <v>0</v>
      </c>
      <c r="I331" s="30" t="s">
        <v>837</v>
      </c>
      <c r="J331" s="30" t="s">
        <v>602</v>
      </c>
      <c r="K331" s="30" t="s">
        <v>603</v>
      </c>
      <c r="L331" s="30" t="s">
        <v>194</v>
      </c>
      <c r="M331" s="30" t="s">
        <v>195</v>
      </c>
      <c r="N331" s="30" t="s">
        <v>167</v>
      </c>
      <c r="O331" s="30">
        <v>225000</v>
      </c>
      <c r="P331" s="30">
        <v>1</v>
      </c>
      <c r="Q331" s="30" t="s">
        <v>168</v>
      </c>
      <c r="R331" s="30" t="s">
        <v>169</v>
      </c>
      <c r="S331" s="30"/>
      <c r="T331" s="30"/>
      <c r="U331" s="30"/>
      <c r="V331" s="30" t="s">
        <v>172</v>
      </c>
      <c r="W331" s="30" t="s">
        <v>173</v>
      </c>
      <c r="X331" s="30" t="s">
        <v>589</v>
      </c>
      <c r="Y331" s="30" t="s">
        <v>838</v>
      </c>
      <c r="Z331" s="30">
        <v>5</v>
      </c>
      <c r="AA331" s="30" t="s">
        <v>197</v>
      </c>
      <c r="AB331" s="30">
        <v>11</v>
      </c>
      <c r="AC331" s="30" t="s">
        <v>177</v>
      </c>
      <c r="AD331" s="30" t="s">
        <v>178</v>
      </c>
      <c r="AE331" s="30" t="s">
        <v>8</v>
      </c>
      <c r="AF331" s="30" t="s">
        <v>28</v>
      </c>
      <c r="AG331" s="30" t="s">
        <v>33</v>
      </c>
      <c r="AH331" s="30" t="s">
        <v>5</v>
      </c>
      <c r="AI331" s="30"/>
    </row>
    <row r="332" spans="1:35" x14ac:dyDescent="0.3">
      <c r="A332" s="30">
        <v>150</v>
      </c>
      <c r="B332" s="30" t="s">
        <v>569</v>
      </c>
      <c r="C332" s="30" t="s">
        <v>570</v>
      </c>
      <c r="D332" s="31">
        <v>46112</v>
      </c>
      <c r="E332" s="30">
        <v>520</v>
      </c>
      <c r="F332" s="30">
        <v>0</v>
      </c>
      <c r="G332" s="32">
        <v>-5848813015</v>
      </c>
      <c r="H332" s="30">
        <v>-5848813015</v>
      </c>
      <c r="I332" s="30" t="s">
        <v>839</v>
      </c>
      <c r="J332" s="30" t="s">
        <v>675</v>
      </c>
      <c r="K332" s="30" t="s">
        <v>676</v>
      </c>
      <c r="L332" s="30" t="s">
        <v>194</v>
      </c>
      <c r="M332" s="30" t="s">
        <v>195</v>
      </c>
      <c r="N332" s="30" t="s">
        <v>167</v>
      </c>
      <c r="O332" s="30">
        <v>-5848813015</v>
      </c>
      <c r="P332" s="30">
        <v>1</v>
      </c>
      <c r="Q332" s="30" t="s">
        <v>168</v>
      </c>
      <c r="R332" s="30" t="s">
        <v>169</v>
      </c>
      <c r="S332" s="30"/>
      <c r="T332" s="30"/>
      <c r="U332" s="30"/>
      <c r="V332" s="30" t="s">
        <v>172</v>
      </c>
      <c r="W332" s="30" t="s">
        <v>282</v>
      </c>
      <c r="X332" s="30" t="s">
        <v>228</v>
      </c>
      <c r="Y332" s="30" t="s">
        <v>840</v>
      </c>
      <c r="Z332" s="30">
        <v>5</v>
      </c>
      <c r="AA332" s="30" t="s">
        <v>575</v>
      </c>
      <c r="AB332" s="30">
        <v>11</v>
      </c>
      <c r="AC332" s="30" t="s">
        <v>177</v>
      </c>
      <c r="AD332" s="30" t="s">
        <v>178</v>
      </c>
      <c r="AE332" s="30" t="s">
        <v>8</v>
      </c>
      <c r="AF332" s="30" t="s">
        <v>28</v>
      </c>
      <c r="AG332" s="30" t="s">
        <v>10</v>
      </c>
      <c r="AH332" s="30" t="s">
        <v>6</v>
      </c>
      <c r="AI332" s="30"/>
    </row>
    <row r="333" spans="1:35" x14ac:dyDescent="0.3">
      <c r="A333" s="30">
        <v>151</v>
      </c>
      <c r="B333" s="30" t="s">
        <v>569</v>
      </c>
      <c r="C333" s="30" t="s">
        <v>570</v>
      </c>
      <c r="D333" s="31">
        <v>46112</v>
      </c>
      <c r="E333" s="30">
        <v>520</v>
      </c>
      <c r="F333" s="30">
        <v>0</v>
      </c>
      <c r="G333" s="32">
        <v>-793888706</v>
      </c>
      <c r="H333" s="30">
        <v>-6642701721</v>
      </c>
      <c r="I333" s="30" t="s">
        <v>841</v>
      </c>
      <c r="J333" s="30" t="s">
        <v>675</v>
      </c>
      <c r="K333" s="30" t="s">
        <v>676</v>
      </c>
      <c r="L333" s="30" t="s">
        <v>194</v>
      </c>
      <c r="M333" s="30" t="s">
        <v>195</v>
      </c>
      <c r="N333" s="30" t="s">
        <v>167</v>
      </c>
      <c r="O333" s="30">
        <v>-793888706</v>
      </c>
      <c r="P333" s="30">
        <v>1</v>
      </c>
      <c r="Q333" s="30" t="s">
        <v>168</v>
      </c>
      <c r="R333" s="30" t="s">
        <v>169</v>
      </c>
      <c r="S333" s="30"/>
      <c r="T333" s="30"/>
      <c r="U333" s="30"/>
      <c r="V333" s="30" t="s">
        <v>172</v>
      </c>
      <c r="W333" s="30" t="s">
        <v>282</v>
      </c>
      <c r="X333" s="30" t="s">
        <v>228</v>
      </c>
      <c r="Y333" s="30" t="s">
        <v>840</v>
      </c>
      <c r="Z333" s="30">
        <v>6</v>
      </c>
      <c r="AA333" s="30" t="s">
        <v>575</v>
      </c>
      <c r="AB333" s="30">
        <v>11</v>
      </c>
      <c r="AC333" s="30" t="s">
        <v>177</v>
      </c>
      <c r="AD333" s="30" t="s">
        <v>178</v>
      </c>
      <c r="AE333" s="30" t="s">
        <v>8</v>
      </c>
      <c r="AF333" s="30" t="s">
        <v>28</v>
      </c>
      <c r="AG333" s="30" t="s">
        <v>10</v>
      </c>
      <c r="AH333" s="30" t="s">
        <v>6</v>
      </c>
      <c r="AI333" s="30"/>
    </row>
    <row r="334" spans="1:35" x14ac:dyDescent="0.3">
      <c r="A334" s="30">
        <v>152</v>
      </c>
      <c r="B334" s="30" t="s">
        <v>569</v>
      </c>
      <c r="C334" s="30" t="s">
        <v>570</v>
      </c>
      <c r="D334" s="31">
        <v>46112</v>
      </c>
      <c r="E334" s="30">
        <v>520</v>
      </c>
      <c r="F334" s="30">
        <v>0</v>
      </c>
      <c r="G334" s="32">
        <v>-7240800982</v>
      </c>
      <c r="H334" s="30">
        <v>-13883502703</v>
      </c>
      <c r="I334" s="30" t="s">
        <v>842</v>
      </c>
      <c r="J334" s="30" t="s">
        <v>675</v>
      </c>
      <c r="K334" s="30" t="s">
        <v>676</v>
      </c>
      <c r="L334" s="30" t="s">
        <v>194</v>
      </c>
      <c r="M334" s="30" t="s">
        <v>195</v>
      </c>
      <c r="N334" s="30" t="s">
        <v>167</v>
      </c>
      <c r="O334" s="30">
        <v>-7240800982</v>
      </c>
      <c r="P334" s="30">
        <v>1</v>
      </c>
      <c r="Q334" s="30" t="s">
        <v>168</v>
      </c>
      <c r="R334" s="30" t="s">
        <v>169</v>
      </c>
      <c r="S334" s="30"/>
      <c r="T334" s="30"/>
      <c r="U334" s="30"/>
      <c r="V334" s="30" t="s">
        <v>172</v>
      </c>
      <c r="W334" s="30" t="s">
        <v>282</v>
      </c>
      <c r="X334" s="30" t="s">
        <v>228</v>
      </c>
      <c r="Y334" s="30" t="s">
        <v>840</v>
      </c>
      <c r="Z334" s="30">
        <v>7</v>
      </c>
      <c r="AA334" s="30" t="s">
        <v>575</v>
      </c>
      <c r="AB334" s="30">
        <v>11</v>
      </c>
      <c r="AC334" s="30" t="s">
        <v>177</v>
      </c>
      <c r="AD334" s="30" t="s">
        <v>178</v>
      </c>
      <c r="AE334" s="30" t="s">
        <v>8</v>
      </c>
      <c r="AF334" s="30" t="s">
        <v>28</v>
      </c>
      <c r="AG334" s="30" t="s">
        <v>10</v>
      </c>
      <c r="AH334" s="30" t="s">
        <v>6</v>
      </c>
      <c r="AI334" s="30"/>
    </row>
    <row r="335" spans="1:35" x14ac:dyDescent="0.3">
      <c r="A335" s="30">
        <v>153</v>
      </c>
      <c r="B335" s="30" t="s">
        <v>569</v>
      </c>
      <c r="C335" s="30" t="s">
        <v>570</v>
      </c>
      <c r="D335" s="31">
        <v>46112</v>
      </c>
      <c r="E335" s="30">
        <v>521</v>
      </c>
      <c r="F335" s="30">
        <v>0</v>
      </c>
      <c r="G335" s="32">
        <v>-979207891</v>
      </c>
      <c r="H335" s="30">
        <v>-14862710594</v>
      </c>
      <c r="I335" s="30" t="s">
        <v>843</v>
      </c>
      <c r="J335" s="30" t="s">
        <v>689</v>
      </c>
      <c r="K335" s="30" t="s">
        <v>690</v>
      </c>
      <c r="L335" s="30" t="s">
        <v>194</v>
      </c>
      <c r="M335" s="30" t="s">
        <v>195</v>
      </c>
      <c r="N335" s="30" t="s">
        <v>397</v>
      </c>
      <c r="O335" s="30">
        <v>-675632.63</v>
      </c>
      <c r="P335" s="30">
        <v>1449.32</v>
      </c>
      <c r="Q335" s="30" t="s">
        <v>168</v>
      </c>
      <c r="R335" s="30" t="s">
        <v>169</v>
      </c>
      <c r="S335" s="30"/>
      <c r="T335" s="30"/>
      <c r="U335" s="30"/>
      <c r="V335" s="30" t="s">
        <v>172</v>
      </c>
      <c r="W335" s="30" t="s">
        <v>282</v>
      </c>
      <c r="X335" s="30" t="s">
        <v>228</v>
      </c>
      <c r="Y335" s="30" t="s">
        <v>844</v>
      </c>
      <c r="Z335" s="30">
        <v>3</v>
      </c>
      <c r="AA335" s="30" t="s">
        <v>575</v>
      </c>
      <c r="AB335" s="30">
        <v>11</v>
      </c>
      <c r="AC335" s="30" t="s">
        <v>177</v>
      </c>
      <c r="AD335" s="30" t="s">
        <v>178</v>
      </c>
      <c r="AE335" s="30" t="s">
        <v>8</v>
      </c>
      <c r="AF335" s="30" t="s">
        <v>28</v>
      </c>
      <c r="AG335" s="30" t="s">
        <v>13</v>
      </c>
      <c r="AH335" s="30" t="s">
        <v>6</v>
      </c>
      <c r="AI335" s="30"/>
    </row>
    <row r="336" spans="1:35" x14ac:dyDescent="0.3">
      <c r="A336" s="30">
        <v>154</v>
      </c>
      <c r="B336" s="30" t="s">
        <v>569</v>
      </c>
      <c r="C336" s="30" t="s">
        <v>570</v>
      </c>
      <c r="D336" s="31">
        <v>46112</v>
      </c>
      <c r="E336" s="30">
        <v>522</v>
      </c>
      <c r="F336" s="30">
        <v>0</v>
      </c>
      <c r="G336" s="32">
        <v>-3530038503</v>
      </c>
      <c r="H336" s="30">
        <v>-18392749097</v>
      </c>
      <c r="I336" s="30" t="s">
        <v>845</v>
      </c>
      <c r="J336" s="30" t="s">
        <v>572</v>
      </c>
      <c r="K336" s="30" t="s">
        <v>573</v>
      </c>
      <c r="L336" s="30" t="s">
        <v>194</v>
      </c>
      <c r="M336" s="30" t="s">
        <v>195</v>
      </c>
      <c r="N336" s="30" t="s">
        <v>397</v>
      </c>
      <c r="O336" s="30">
        <v>-2435651.5499999998</v>
      </c>
      <c r="P336" s="30">
        <v>1449.32</v>
      </c>
      <c r="Q336" s="30" t="s">
        <v>168</v>
      </c>
      <c r="R336" s="30" t="s">
        <v>169</v>
      </c>
      <c r="S336" s="30"/>
      <c r="T336" s="30"/>
      <c r="U336" s="30"/>
      <c r="V336" s="30" t="s">
        <v>172</v>
      </c>
      <c r="W336" s="30" t="s">
        <v>282</v>
      </c>
      <c r="X336" s="30" t="s">
        <v>228</v>
      </c>
      <c r="Y336" s="30" t="s">
        <v>846</v>
      </c>
      <c r="Z336" s="30">
        <v>7</v>
      </c>
      <c r="AA336" s="30" t="s">
        <v>575</v>
      </c>
      <c r="AB336" s="30">
        <v>11</v>
      </c>
      <c r="AC336" s="30" t="s">
        <v>177</v>
      </c>
      <c r="AD336" s="30" t="s">
        <v>178</v>
      </c>
      <c r="AE336" s="30" t="s">
        <v>8</v>
      </c>
      <c r="AF336" s="30" t="s">
        <v>28</v>
      </c>
      <c r="AG336" s="30" t="s">
        <v>9</v>
      </c>
      <c r="AH336" s="30" t="s">
        <v>6</v>
      </c>
      <c r="AI336" s="30"/>
    </row>
    <row r="337" spans="1:35" x14ac:dyDescent="0.3">
      <c r="A337" s="30">
        <v>155</v>
      </c>
      <c r="B337" s="30" t="s">
        <v>569</v>
      </c>
      <c r="C337" s="30" t="s">
        <v>570</v>
      </c>
      <c r="D337" s="31">
        <v>46112</v>
      </c>
      <c r="E337" s="30">
        <v>522</v>
      </c>
      <c r="F337" s="30">
        <v>0</v>
      </c>
      <c r="G337" s="32">
        <v>-2016568988</v>
      </c>
      <c r="H337" s="30">
        <v>-20409318085</v>
      </c>
      <c r="I337" s="30" t="s">
        <v>847</v>
      </c>
      <c r="J337" s="30" t="s">
        <v>572</v>
      </c>
      <c r="K337" s="30" t="s">
        <v>573</v>
      </c>
      <c r="L337" s="30" t="s">
        <v>194</v>
      </c>
      <c r="M337" s="30" t="s">
        <v>195</v>
      </c>
      <c r="N337" s="30" t="s">
        <v>397</v>
      </c>
      <c r="O337" s="30">
        <v>-1391389.75</v>
      </c>
      <c r="P337" s="30">
        <v>1449.32</v>
      </c>
      <c r="Q337" s="30" t="s">
        <v>168</v>
      </c>
      <c r="R337" s="30" t="s">
        <v>169</v>
      </c>
      <c r="S337" s="30"/>
      <c r="T337" s="30"/>
      <c r="U337" s="30"/>
      <c r="V337" s="30" t="s">
        <v>172</v>
      </c>
      <c r="W337" s="30" t="s">
        <v>282</v>
      </c>
      <c r="X337" s="30" t="s">
        <v>228</v>
      </c>
      <c r="Y337" s="30" t="s">
        <v>846</v>
      </c>
      <c r="Z337" s="30">
        <v>8</v>
      </c>
      <c r="AA337" s="30" t="s">
        <v>575</v>
      </c>
      <c r="AB337" s="30">
        <v>11</v>
      </c>
      <c r="AC337" s="30" t="s">
        <v>177</v>
      </c>
      <c r="AD337" s="30" t="s">
        <v>178</v>
      </c>
      <c r="AE337" s="30" t="s">
        <v>8</v>
      </c>
      <c r="AF337" s="30" t="s">
        <v>28</v>
      </c>
      <c r="AG337" s="30" t="s">
        <v>9</v>
      </c>
      <c r="AH337" s="30" t="s">
        <v>6</v>
      </c>
      <c r="AI337" s="30"/>
    </row>
    <row r="338" spans="1:35" x14ac:dyDescent="0.3">
      <c r="A338" s="30">
        <v>156</v>
      </c>
      <c r="B338" s="30" t="s">
        <v>569</v>
      </c>
      <c r="C338" s="30" t="s">
        <v>570</v>
      </c>
      <c r="D338" s="31">
        <v>46112</v>
      </c>
      <c r="E338" s="30">
        <v>522</v>
      </c>
      <c r="F338" s="30">
        <v>0</v>
      </c>
      <c r="G338" s="32">
        <v>-11481833706</v>
      </c>
      <c r="H338" s="30">
        <v>-31891151791</v>
      </c>
      <c r="I338" s="30" t="s">
        <v>848</v>
      </c>
      <c r="J338" s="30" t="s">
        <v>572</v>
      </c>
      <c r="K338" s="30" t="s">
        <v>573</v>
      </c>
      <c r="L338" s="30" t="s">
        <v>194</v>
      </c>
      <c r="M338" s="30" t="s">
        <v>195</v>
      </c>
      <c r="N338" s="30" t="s">
        <v>397</v>
      </c>
      <c r="O338" s="30">
        <v>-7922221.25</v>
      </c>
      <c r="P338" s="30">
        <v>1449.32</v>
      </c>
      <c r="Q338" s="30" t="s">
        <v>168</v>
      </c>
      <c r="R338" s="30" t="s">
        <v>169</v>
      </c>
      <c r="S338" s="30"/>
      <c r="T338" s="30"/>
      <c r="U338" s="30"/>
      <c r="V338" s="30" t="s">
        <v>172</v>
      </c>
      <c r="W338" s="30" t="s">
        <v>282</v>
      </c>
      <c r="X338" s="30" t="s">
        <v>228</v>
      </c>
      <c r="Y338" s="30" t="s">
        <v>846</v>
      </c>
      <c r="Z338" s="30">
        <v>9</v>
      </c>
      <c r="AA338" s="30" t="s">
        <v>575</v>
      </c>
      <c r="AB338" s="30">
        <v>11</v>
      </c>
      <c r="AC338" s="30" t="s">
        <v>177</v>
      </c>
      <c r="AD338" s="30" t="s">
        <v>178</v>
      </c>
      <c r="AE338" s="30" t="s">
        <v>8</v>
      </c>
      <c r="AF338" s="30" t="s">
        <v>28</v>
      </c>
      <c r="AG338" s="30" t="s">
        <v>9</v>
      </c>
      <c r="AH338" s="30" t="s">
        <v>6</v>
      </c>
      <c r="AI338" s="30"/>
    </row>
    <row r="339" spans="1:35" x14ac:dyDescent="0.3">
      <c r="A339" s="30">
        <v>157</v>
      </c>
      <c r="B339" s="30" t="s">
        <v>569</v>
      </c>
      <c r="C339" s="30" t="s">
        <v>570</v>
      </c>
      <c r="D339" s="31">
        <v>46112</v>
      </c>
      <c r="E339" s="30">
        <v>510</v>
      </c>
      <c r="F339" s="30">
        <v>0</v>
      </c>
      <c r="G339" s="32">
        <v>-1249927</v>
      </c>
      <c r="H339" s="30">
        <v>-31892401718</v>
      </c>
      <c r="I339" s="30" t="s">
        <v>849</v>
      </c>
      <c r="J339" s="30" t="s">
        <v>720</v>
      </c>
      <c r="K339" s="30" t="s">
        <v>29</v>
      </c>
      <c r="L339" s="30" t="s">
        <v>194</v>
      </c>
      <c r="M339" s="30" t="s">
        <v>195</v>
      </c>
      <c r="N339" s="30" t="s">
        <v>721</v>
      </c>
      <c r="O339" s="30">
        <v>-729.65</v>
      </c>
      <c r="P339" s="30">
        <v>1713.05</v>
      </c>
      <c r="Q339" s="30" t="s">
        <v>168</v>
      </c>
      <c r="R339" s="30" t="s">
        <v>169</v>
      </c>
      <c r="S339" s="30"/>
      <c r="T339" s="30"/>
      <c r="U339" s="30"/>
      <c r="V339" s="30" t="s">
        <v>172</v>
      </c>
      <c r="W339" s="30" t="s">
        <v>282</v>
      </c>
      <c r="X339" s="30" t="s">
        <v>228</v>
      </c>
      <c r="Y339" s="30" t="s">
        <v>850</v>
      </c>
      <c r="Z339" s="30">
        <v>9</v>
      </c>
      <c r="AA339" s="30" t="s">
        <v>575</v>
      </c>
      <c r="AB339" s="30">
        <v>11</v>
      </c>
      <c r="AC339" s="30" t="s">
        <v>177</v>
      </c>
      <c r="AD339" s="30" t="s">
        <v>178</v>
      </c>
      <c r="AE339" s="30" t="s">
        <v>8</v>
      </c>
      <c r="AF339" s="30" t="s">
        <v>28</v>
      </c>
      <c r="AG339" s="30" t="s">
        <v>29</v>
      </c>
      <c r="AH339" s="30" t="s">
        <v>6</v>
      </c>
      <c r="AI339" s="30"/>
    </row>
    <row r="340" spans="1:35" x14ac:dyDescent="0.3">
      <c r="A340" s="30">
        <v>158</v>
      </c>
      <c r="B340" s="30" t="s">
        <v>569</v>
      </c>
      <c r="C340" s="30" t="s">
        <v>570</v>
      </c>
      <c r="D340" s="31">
        <v>46112</v>
      </c>
      <c r="E340" s="30">
        <v>510</v>
      </c>
      <c r="F340" s="30">
        <v>0</v>
      </c>
      <c r="G340" s="32">
        <v>0</v>
      </c>
      <c r="H340" s="30">
        <v>-31892401718</v>
      </c>
      <c r="I340" s="30" t="s">
        <v>851</v>
      </c>
      <c r="J340" s="30" t="s">
        <v>720</v>
      </c>
      <c r="K340" s="30" t="s">
        <v>29</v>
      </c>
      <c r="L340" s="30" t="s">
        <v>194</v>
      </c>
      <c r="M340" s="30" t="s">
        <v>195</v>
      </c>
      <c r="N340" s="30" t="s">
        <v>724</v>
      </c>
      <c r="O340" s="30">
        <v>0</v>
      </c>
      <c r="P340" s="30">
        <v>1968.36</v>
      </c>
      <c r="Q340" s="30" t="s">
        <v>168</v>
      </c>
      <c r="R340" s="30" t="s">
        <v>169</v>
      </c>
      <c r="S340" s="30"/>
      <c r="T340" s="30"/>
      <c r="U340" s="30"/>
      <c r="V340" s="30" t="s">
        <v>172</v>
      </c>
      <c r="W340" s="30" t="s">
        <v>282</v>
      </c>
      <c r="X340" s="30" t="s">
        <v>228</v>
      </c>
      <c r="Y340" s="30" t="s">
        <v>850</v>
      </c>
      <c r="Z340" s="30">
        <v>10</v>
      </c>
      <c r="AA340" s="30" t="s">
        <v>575</v>
      </c>
      <c r="AB340" s="30">
        <v>11</v>
      </c>
      <c r="AC340" s="30" t="s">
        <v>177</v>
      </c>
      <c r="AD340" s="30" t="s">
        <v>178</v>
      </c>
      <c r="AE340" s="30" t="s">
        <v>8</v>
      </c>
      <c r="AF340" s="30" t="s">
        <v>28</v>
      </c>
      <c r="AG340" s="30" t="s">
        <v>29</v>
      </c>
      <c r="AH340" s="30" t="s">
        <v>6</v>
      </c>
      <c r="AI340" s="30"/>
    </row>
    <row r="341" spans="1:35" x14ac:dyDescent="0.3">
      <c r="A341" s="30">
        <v>159</v>
      </c>
      <c r="B341" s="30" t="s">
        <v>569</v>
      </c>
      <c r="C341" s="30" t="s">
        <v>570</v>
      </c>
      <c r="D341" s="31">
        <v>46112</v>
      </c>
      <c r="E341" s="30">
        <v>510</v>
      </c>
      <c r="F341" s="30">
        <v>0</v>
      </c>
      <c r="G341" s="32">
        <v>-25058453</v>
      </c>
      <c r="H341" s="30">
        <v>-31917460171</v>
      </c>
      <c r="I341" s="30" t="s">
        <v>852</v>
      </c>
      <c r="J341" s="30" t="s">
        <v>720</v>
      </c>
      <c r="K341" s="30" t="s">
        <v>29</v>
      </c>
      <c r="L341" s="30" t="s">
        <v>194</v>
      </c>
      <c r="M341" s="30" t="s">
        <v>195</v>
      </c>
      <c r="N341" s="30" t="s">
        <v>397</v>
      </c>
      <c r="O341" s="30">
        <v>-17289.8</v>
      </c>
      <c r="P341" s="30">
        <v>1449.32</v>
      </c>
      <c r="Q341" s="30" t="s">
        <v>168</v>
      </c>
      <c r="R341" s="30" t="s">
        <v>169</v>
      </c>
      <c r="S341" s="30"/>
      <c r="T341" s="30"/>
      <c r="U341" s="30"/>
      <c r="V341" s="30" t="s">
        <v>172</v>
      </c>
      <c r="W341" s="30" t="s">
        <v>282</v>
      </c>
      <c r="X341" s="30" t="s">
        <v>228</v>
      </c>
      <c r="Y341" s="30" t="s">
        <v>850</v>
      </c>
      <c r="Z341" s="30">
        <v>11</v>
      </c>
      <c r="AA341" s="30" t="s">
        <v>575</v>
      </c>
      <c r="AB341" s="30">
        <v>11</v>
      </c>
      <c r="AC341" s="30" t="s">
        <v>177</v>
      </c>
      <c r="AD341" s="30" t="s">
        <v>178</v>
      </c>
      <c r="AE341" s="30" t="s">
        <v>8</v>
      </c>
      <c r="AF341" s="30" t="s">
        <v>28</v>
      </c>
      <c r="AG341" s="30" t="s">
        <v>29</v>
      </c>
      <c r="AH341" s="30" t="s">
        <v>6</v>
      </c>
      <c r="AI341" s="30"/>
    </row>
    <row r="342" spans="1:35" x14ac:dyDescent="0.3">
      <c r="A342" s="30">
        <v>160</v>
      </c>
      <c r="B342" s="30" t="s">
        <v>569</v>
      </c>
      <c r="C342" s="30" t="s">
        <v>570</v>
      </c>
      <c r="D342" s="31">
        <v>46112</v>
      </c>
      <c r="E342" s="30">
        <v>510</v>
      </c>
      <c r="F342" s="30">
        <v>0</v>
      </c>
      <c r="G342" s="32">
        <v>-2055186</v>
      </c>
      <c r="H342" s="30">
        <v>-31919515357</v>
      </c>
      <c r="I342" s="30" t="s">
        <v>853</v>
      </c>
      <c r="J342" s="30" t="s">
        <v>720</v>
      </c>
      <c r="K342" s="30" t="s">
        <v>29</v>
      </c>
      <c r="L342" s="30" t="s">
        <v>194</v>
      </c>
      <c r="M342" s="30" t="s">
        <v>195</v>
      </c>
      <c r="N342" s="30" t="s">
        <v>667</v>
      </c>
      <c r="O342" s="30">
        <v>-220364.55</v>
      </c>
      <c r="P342" s="30">
        <v>9.3262999999999998</v>
      </c>
      <c r="Q342" s="30" t="s">
        <v>168</v>
      </c>
      <c r="R342" s="30" t="s">
        <v>169</v>
      </c>
      <c r="S342" s="30"/>
      <c r="T342" s="30"/>
      <c r="U342" s="30"/>
      <c r="V342" s="30" t="s">
        <v>172</v>
      </c>
      <c r="W342" s="30" t="s">
        <v>282</v>
      </c>
      <c r="X342" s="30" t="s">
        <v>228</v>
      </c>
      <c r="Y342" s="30" t="s">
        <v>850</v>
      </c>
      <c r="Z342" s="30">
        <v>12</v>
      </c>
      <c r="AA342" s="30" t="s">
        <v>575</v>
      </c>
      <c r="AB342" s="30">
        <v>11</v>
      </c>
      <c r="AC342" s="30" t="s">
        <v>177</v>
      </c>
      <c r="AD342" s="30" t="s">
        <v>178</v>
      </c>
      <c r="AE342" s="30" t="s">
        <v>8</v>
      </c>
      <c r="AF342" s="30" t="s">
        <v>28</v>
      </c>
      <c r="AG342" s="30" t="s">
        <v>29</v>
      </c>
      <c r="AH342" s="30" t="s">
        <v>6</v>
      </c>
      <c r="AI342" s="30"/>
    </row>
    <row r="343" spans="1:35" x14ac:dyDescent="0.3">
      <c r="A343" s="30">
        <v>161</v>
      </c>
      <c r="B343" s="30" t="s">
        <v>569</v>
      </c>
      <c r="C343" s="30" t="s">
        <v>570</v>
      </c>
      <c r="D343" s="31">
        <v>46112</v>
      </c>
      <c r="E343" s="30">
        <v>513</v>
      </c>
      <c r="F343" s="30">
        <v>0</v>
      </c>
      <c r="G343" s="32">
        <v>1229971944</v>
      </c>
      <c r="H343" s="30">
        <v>-30689543413</v>
      </c>
      <c r="I343" s="30" t="s">
        <v>854</v>
      </c>
      <c r="J343" s="30" t="s">
        <v>685</v>
      </c>
      <c r="K343" s="30" t="s">
        <v>686</v>
      </c>
      <c r="L343" s="30" t="s">
        <v>194</v>
      </c>
      <c r="M343" s="30" t="s">
        <v>195</v>
      </c>
      <c r="N343" s="30" t="s">
        <v>397</v>
      </c>
      <c r="O343" s="30">
        <v>827350.23</v>
      </c>
      <c r="P343" s="30">
        <v>1486.64</v>
      </c>
      <c r="Q343" s="30" t="s">
        <v>168</v>
      </c>
      <c r="R343" s="30" t="s">
        <v>169</v>
      </c>
      <c r="S343" s="30"/>
      <c r="T343" s="30"/>
      <c r="U343" s="30"/>
      <c r="V343" s="30" t="s">
        <v>172</v>
      </c>
      <c r="W343" s="30" t="s">
        <v>282</v>
      </c>
      <c r="X343" s="30" t="s">
        <v>228</v>
      </c>
      <c r="Y343" s="30" t="s">
        <v>855</v>
      </c>
      <c r="Z343" s="30">
        <v>3</v>
      </c>
      <c r="AA343" s="30" t="s">
        <v>575</v>
      </c>
      <c r="AB343" s="30">
        <v>11</v>
      </c>
      <c r="AC343" s="30" t="s">
        <v>177</v>
      </c>
      <c r="AD343" s="30" t="s">
        <v>178</v>
      </c>
      <c r="AE343" s="30" t="s">
        <v>8</v>
      </c>
      <c r="AF343" s="30" t="s">
        <v>38</v>
      </c>
      <c r="AG343" s="30" t="s">
        <v>12</v>
      </c>
      <c r="AH343" s="30" t="s">
        <v>6</v>
      </c>
      <c r="AI343" s="30"/>
    </row>
    <row r="344" spans="1:35" x14ac:dyDescent="0.3">
      <c r="A344" s="30">
        <v>162</v>
      </c>
      <c r="B344" s="30" t="s">
        <v>569</v>
      </c>
      <c r="C344" s="30" t="s">
        <v>570</v>
      </c>
      <c r="D344" s="31">
        <v>46112</v>
      </c>
      <c r="E344" s="30">
        <v>514</v>
      </c>
      <c r="F344" s="30">
        <v>0</v>
      </c>
      <c r="G344" s="32">
        <v>3527444583</v>
      </c>
      <c r="H344" s="30">
        <v>-27162098830</v>
      </c>
      <c r="I344" s="30" t="s">
        <v>856</v>
      </c>
      <c r="J344" s="30" t="s">
        <v>572</v>
      </c>
      <c r="K344" s="30" t="s">
        <v>573</v>
      </c>
      <c r="L344" s="30" t="s">
        <v>194</v>
      </c>
      <c r="M344" s="30" t="s">
        <v>195</v>
      </c>
      <c r="N344" s="30" t="s">
        <v>397</v>
      </c>
      <c r="O344" s="30">
        <v>2433861.7999999998</v>
      </c>
      <c r="P344" s="30">
        <v>1449.32</v>
      </c>
      <c r="Q344" s="30" t="s">
        <v>168</v>
      </c>
      <c r="R344" s="30" t="s">
        <v>169</v>
      </c>
      <c r="S344" s="30"/>
      <c r="T344" s="30"/>
      <c r="U344" s="30"/>
      <c r="V344" s="30" t="s">
        <v>172</v>
      </c>
      <c r="W344" s="30" t="s">
        <v>282</v>
      </c>
      <c r="X344" s="30" t="s">
        <v>228</v>
      </c>
      <c r="Y344" s="30" t="s">
        <v>857</v>
      </c>
      <c r="Z344" s="30">
        <v>7</v>
      </c>
      <c r="AA344" s="30" t="s">
        <v>575</v>
      </c>
      <c r="AB344" s="30">
        <v>11</v>
      </c>
      <c r="AC344" s="30" t="s">
        <v>177</v>
      </c>
      <c r="AD344" s="30" t="s">
        <v>178</v>
      </c>
      <c r="AE344" s="30" t="s">
        <v>8</v>
      </c>
      <c r="AF344" s="30" t="s">
        <v>28</v>
      </c>
      <c r="AG344" s="30" t="s">
        <v>9</v>
      </c>
      <c r="AH344" s="30" t="s">
        <v>6</v>
      </c>
      <c r="AI344" s="30"/>
    </row>
    <row r="345" spans="1:35" x14ac:dyDescent="0.3">
      <c r="A345" s="30">
        <v>163</v>
      </c>
      <c r="B345" s="30" t="s">
        <v>569</v>
      </c>
      <c r="C345" s="30" t="s">
        <v>570</v>
      </c>
      <c r="D345" s="31">
        <v>46112</v>
      </c>
      <c r="E345" s="30">
        <v>514</v>
      </c>
      <c r="F345" s="30">
        <v>0</v>
      </c>
      <c r="G345" s="32">
        <v>2017887144</v>
      </c>
      <c r="H345" s="30">
        <v>-25144211686</v>
      </c>
      <c r="I345" s="30" t="s">
        <v>858</v>
      </c>
      <c r="J345" s="30" t="s">
        <v>572</v>
      </c>
      <c r="K345" s="30" t="s">
        <v>573</v>
      </c>
      <c r="L345" s="30" t="s">
        <v>194</v>
      </c>
      <c r="M345" s="30" t="s">
        <v>195</v>
      </c>
      <c r="N345" s="30" t="s">
        <v>397</v>
      </c>
      <c r="O345" s="30">
        <v>1392299.25</v>
      </c>
      <c r="P345" s="30">
        <v>1449.32</v>
      </c>
      <c r="Q345" s="30" t="s">
        <v>168</v>
      </c>
      <c r="R345" s="30" t="s">
        <v>169</v>
      </c>
      <c r="S345" s="30"/>
      <c r="T345" s="30"/>
      <c r="U345" s="30"/>
      <c r="V345" s="30" t="s">
        <v>172</v>
      </c>
      <c r="W345" s="30" t="s">
        <v>282</v>
      </c>
      <c r="X345" s="30" t="s">
        <v>228</v>
      </c>
      <c r="Y345" s="30" t="s">
        <v>857</v>
      </c>
      <c r="Z345" s="30">
        <v>8</v>
      </c>
      <c r="AA345" s="30" t="s">
        <v>575</v>
      </c>
      <c r="AB345" s="30">
        <v>11</v>
      </c>
      <c r="AC345" s="30" t="s">
        <v>177</v>
      </c>
      <c r="AD345" s="30" t="s">
        <v>178</v>
      </c>
      <c r="AE345" s="30" t="s">
        <v>8</v>
      </c>
      <c r="AF345" s="30" t="s">
        <v>28</v>
      </c>
      <c r="AG345" s="30" t="s">
        <v>9</v>
      </c>
      <c r="AH345" s="30" t="s">
        <v>6</v>
      </c>
      <c r="AI345" s="30"/>
    </row>
    <row r="346" spans="1:35" x14ac:dyDescent="0.3">
      <c r="A346" s="30">
        <v>164</v>
      </c>
      <c r="B346" s="30" t="s">
        <v>569</v>
      </c>
      <c r="C346" s="30" t="s">
        <v>570</v>
      </c>
      <c r="D346" s="31">
        <v>46112</v>
      </c>
      <c r="E346" s="30">
        <v>514</v>
      </c>
      <c r="F346" s="30">
        <v>0</v>
      </c>
      <c r="G346" s="32">
        <v>11508557004</v>
      </c>
      <c r="H346" s="30">
        <v>-13635654682</v>
      </c>
      <c r="I346" s="30" t="s">
        <v>859</v>
      </c>
      <c r="J346" s="30" t="s">
        <v>572</v>
      </c>
      <c r="K346" s="30" t="s">
        <v>573</v>
      </c>
      <c r="L346" s="30" t="s">
        <v>194</v>
      </c>
      <c r="M346" s="30" t="s">
        <v>195</v>
      </c>
      <c r="N346" s="30" t="s">
        <v>397</v>
      </c>
      <c r="O346" s="30">
        <v>7940659.7599999998</v>
      </c>
      <c r="P346" s="30">
        <v>1449.32</v>
      </c>
      <c r="Q346" s="30" t="s">
        <v>168</v>
      </c>
      <c r="R346" s="30" t="s">
        <v>169</v>
      </c>
      <c r="S346" s="30"/>
      <c r="T346" s="30"/>
      <c r="U346" s="30"/>
      <c r="V346" s="30" t="s">
        <v>172</v>
      </c>
      <c r="W346" s="30" t="s">
        <v>282</v>
      </c>
      <c r="X346" s="30" t="s">
        <v>228</v>
      </c>
      <c r="Y346" s="30" t="s">
        <v>857</v>
      </c>
      <c r="Z346" s="30">
        <v>9</v>
      </c>
      <c r="AA346" s="30" t="s">
        <v>575</v>
      </c>
      <c r="AB346" s="30">
        <v>11</v>
      </c>
      <c r="AC346" s="30" t="s">
        <v>177</v>
      </c>
      <c r="AD346" s="30" t="s">
        <v>178</v>
      </c>
      <c r="AE346" s="30" t="s">
        <v>8</v>
      </c>
      <c r="AF346" s="30" t="s">
        <v>28</v>
      </c>
      <c r="AG346" s="30" t="s">
        <v>9</v>
      </c>
      <c r="AH346" s="30" t="s">
        <v>6</v>
      </c>
      <c r="AI346" s="30"/>
    </row>
    <row r="347" spans="1:35" x14ac:dyDescent="0.3">
      <c r="A347" s="30">
        <v>165</v>
      </c>
      <c r="B347" s="30" t="s">
        <v>569</v>
      </c>
      <c r="C347" s="30" t="s">
        <v>570</v>
      </c>
      <c r="D347" s="31">
        <v>46112</v>
      </c>
      <c r="E347" s="30">
        <v>511</v>
      </c>
      <c r="F347" s="30">
        <v>0</v>
      </c>
      <c r="G347" s="32">
        <v>1249756</v>
      </c>
      <c r="H347" s="30">
        <v>-13634404926</v>
      </c>
      <c r="I347" s="30" t="s">
        <v>860</v>
      </c>
      <c r="J347" s="30" t="s">
        <v>720</v>
      </c>
      <c r="K347" s="30" t="s">
        <v>29</v>
      </c>
      <c r="L347" s="30" t="s">
        <v>194</v>
      </c>
      <c r="M347" s="30" t="s">
        <v>195</v>
      </c>
      <c r="N347" s="30" t="s">
        <v>721</v>
      </c>
      <c r="O347" s="30">
        <v>729.55</v>
      </c>
      <c r="P347" s="30">
        <v>1713.05</v>
      </c>
      <c r="Q347" s="30" t="s">
        <v>168</v>
      </c>
      <c r="R347" s="30" t="s">
        <v>169</v>
      </c>
      <c r="S347" s="30"/>
      <c r="T347" s="30"/>
      <c r="U347" s="30"/>
      <c r="V347" s="30" t="s">
        <v>172</v>
      </c>
      <c r="W347" s="30" t="s">
        <v>282</v>
      </c>
      <c r="X347" s="30" t="s">
        <v>228</v>
      </c>
      <c r="Y347" s="30" t="s">
        <v>861</v>
      </c>
      <c r="Z347" s="30">
        <v>9</v>
      </c>
      <c r="AA347" s="30" t="s">
        <v>575</v>
      </c>
      <c r="AB347" s="30">
        <v>11</v>
      </c>
      <c r="AC347" s="30" t="s">
        <v>177</v>
      </c>
      <c r="AD347" s="30" t="s">
        <v>178</v>
      </c>
      <c r="AE347" s="30" t="s">
        <v>8</v>
      </c>
      <c r="AF347" s="30" t="s">
        <v>28</v>
      </c>
      <c r="AG347" s="30" t="s">
        <v>29</v>
      </c>
      <c r="AH347" s="30" t="s">
        <v>6</v>
      </c>
      <c r="AI347" s="30"/>
    </row>
    <row r="348" spans="1:35" x14ac:dyDescent="0.3">
      <c r="A348" s="30">
        <v>166</v>
      </c>
      <c r="B348" s="30" t="s">
        <v>569</v>
      </c>
      <c r="C348" s="30" t="s">
        <v>570</v>
      </c>
      <c r="D348" s="31">
        <v>46112</v>
      </c>
      <c r="E348" s="30">
        <v>511</v>
      </c>
      <c r="F348" s="30">
        <v>0</v>
      </c>
      <c r="G348" s="32">
        <v>0</v>
      </c>
      <c r="H348" s="30">
        <v>-13634404926</v>
      </c>
      <c r="I348" s="30" t="s">
        <v>862</v>
      </c>
      <c r="J348" s="30" t="s">
        <v>720</v>
      </c>
      <c r="K348" s="30" t="s">
        <v>29</v>
      </c>
      <c r="L348" s="30" t="s">
        <v>194</v>
      </c>
      <c r="M348" s="30" t="s">
        <v>195</v>
      </c>
      <c r="N348" s="30" t="s">
        <v>724</v>
      </c>
      <c r="O348" s="30">
        <v>0</v>
      </c>
      <c r="P348" s="30">
        <v>1968.36</v>
      </c>
      <c r="Q348" s="30" t="s">
        <v>168</v>
      </c>
      <c r="R348" s="30" t="s">
        <v>169</v>
      </c>
      <c r="S348" s="30"/>
      <c r="T348" s="30"/>
      <c r="U348" s="30"/>
      <c r="V348" s="30" t="s">
        <v>172</v>
      </c>
      <c r="W348" s="30" t="s">
        <v>282</v>
      </c>
      <c r="X348" s="30" t="s">
        <v>228</v>
      </c>
      <c r="Y348" s="30" t="s">
        <v>861</v>
      </c>
      <c r="Z348" s="30">
        <v>10</v>
      </c>
      <c r="AA348" s="30" t="s">
        <v>575</v>
      </c>
      <c r="AB348" s="30">
        <v>11</v>
      </c>
      <c r="AC348" s="30" t="s">
        <v>177</v>
      </c>
      <c r="AD348" s="30" t="s">
        <v>178</v>
      </c>
      <c r="AE348" s="30" t="s">
        <v>8</v>
      </c>
      <c r="AF348" s="30" t="s">
        <v>28</v>
      </c>
      <c r="AG348" s="30" t="s">
        <v>29</v>
      </c>
      <c r="AH348" s="30" t="s">
        <v>6</v>
      </c>
      <c r="AI348" s="30"/>
    </row>
    <row r="349" spans="1:35" x14ac:dyDescent="0.3">
      <c r="A349" s="30">
        <v>167</v>
      </c>
      <c r="B349" s="30" t="s">
        <v>569</v>
      </c>
      <c r="C349" s="30" t="s">
        <v>570</v>
      </c>
      <c r="D349" s="31">
        <v>46112</v>
      </c>
      <c r="E349" s="30">
        <v>511</v>
      </c>
      <c r="F349" s="30">
        <v>0</v>
      </c>
      <c r="G349" s="32">
        <v>25057240</v>
      </c>
      <c r="H349" s="30">
        <v>-13609347686</v>
      </c>
      <c r="I349" s="30" t="s">
        <v>863</v>
      </c>
      <c r="J349" s="30" t="s">
        <v>720</v>
      </c>
      <c r="K349" s="30" t="s">
        <v>29</v>
      </c>
      <c r="L349" s="30" t="s">
        <v>194</v>
      </c>
      <c r="M349" s="30" t="s">
        <v>195</v>
      </c>
      <c r="N349" s="30" t="s">
        <v>397</v>
      </c>
      <c r="O349" s="30">
        <v>17288.96</v>
      </c>
      <c r="P349" s="30">
        <v>1449.32</v>
      </c>
      <c r="Q349" s="30" t="s">
        <v>168</v>
      </c>
      <c r="R349" s="30" t="s">
        <v>169</v>
      </c>
      <c r="S349" s="30"/>
      <c r="T349" s="30"/>
      <c r="U349" s="30"/>
      <c r="V349" s="30" t="s">
        <v>172</v>
      </c>
      <c r="W349" s="30" t="s">
        <v>282</v>
      </c>
      <c r="X349" s="30" t="s">
        <v>228</v>
      </c>
      <c r="Y349" s="30" t="s">
        <v>861</v>
      </c>
      <c r="Z349" s="30">
        <v>11</v>
      </c>
      <c r="AA349" s="30" t="s">
        <v>575</v>
      </c>
      <c r="AB349" s="30">
        <v>11</v>
      </c>
      <c r="AC349" s="30" t="s">
        <v>177</v>
      </c>
      <c r="AD349" s="30" t="s">
        <v>178</v>
      </c>
      <c r="AE349" s="30" t="s">
        <v>8</v>
      </c>
      <c r="AF349" s="30" t="s">
        <v>28</v>
      </c>
      <c r="AG349" s="30" t="s">
        <v>29</v>
      </c>
      <c r="AH349" s="30" t="s">
        <v>6</v>
      </c>
      <c r="AI349" s="30"/>
    </row>
    <row r="350" spans="1:35" x14ac:dyDescent="0.3">
      <c r="A350" s="30">
        <v>168</v>
      </c>
      <c r="B350" s="30" t="s">
        <v>569</v>
      </c>
      <c r="C350" s="30" t="s">
        <v>570</v>
      </c>
      <c r="D350" s="31">
        <v>46112</v>
      </c>
      <c r="E350" s="30">
        <v>511</v>
      </c>
      <c r="F350" s="30">
        <v>0</v>
      </c>
      <c r="G350" s="32">
        <v>2055199</v>
      </c>
      <c r="H350" s="30">
        <v>-13607292487</v>
      </c>
      <c r="I350" s="30" t="s">
        <v>864</v>
      </c>
      <c r="J350" s="30" t="s">
        <v>720</v>
      </c>
      <c r="K350" s="30" t="s">
        <v>29</v>
      </c>
      <c r="L350" s="30" t="s">
        <v>194</v>
      </c>
      <c r="M350" s="30" t="s">
        <v>195</v>
      </c>
      <c r="N350" s="30" t="s">
        <v>667</v>
      </c>
      <c r="O350" s="30">
        <v>220365.91</v>
      </c>
      <c r="P350" s="30">
        <v>9.3262999999999998</v>
      </c>
      <c r="Q350" s="30" t="s">
        <v>168</v>
      </c>
      <c r="R350" s="30" t="s">
        <v>169</v>
      </c>
      <c r="S350" s="30"/>
      <c r="T350" s="30"/>
      <c r="U350" s="30"/>
      <c r="V350" s="30" t="s">
        <v>172</v>
      </c>
      <c r="W350" s="30" t="s">
        <v>282</v>
      </c>
      <c r="X350" s="30" t="s">
        <v>228</v>
      </c>
      <c r="Y350" s="30" t="s">
        <v>861</v>
      </c>
      <c r="Z350" s="30">
        <v>12</v>
      </c>
      <c r="AA350" s="30" t="s">
        <v>575</v>
      </c>
      <c r="AB350" s="30">
        <v>11</v>
      </c>
      <c r="AC350" s="30" t="s">
        <v>177</v>
      </c>
      <c r="AD350" s="30" t="s">
        <v>178</v>
      </c>
      <c r="AE350" s="30" t="s">
        <v>8</v>
      </c>
      <c r="AF350" s="30" t="s">
        <v>28</v>
      </c>
      <c r="AG350" s="30" t="s">
        <v>29</v>
      </c>
      <c r="AH350" s="30" t="s">
        <v>6</v>
      </c>
      <c r="AI350" s="30"/>
    </row>
    <row r="351" spans="1:35" x14ac:dyDescent="0.3">
      <c r="A351" s="30">
        <v>169</v>
      </c>
      <c r="B351" s="30" t="s">
        <v>569</v>
      </c>
      <c r="C351" s="30" t="s">
        <v>570</v>
      </c>
      <c r="D351" s="31">
        <v>46112</v>
      </c>
      <c r="E351" s="30">
        <v>515</v>
      </c>
      <c r="F351" s="30">
        <v>0</v>
      </c>
      <c r="G351" s="32">
        <v>3678979351</v>
      </c>
      <c r="H351" s="30">
        <v>-9928313136</v>
      </c>
      <c r="I351" s="30" t="s">
        <v>865</v>
      </c>
      <c r="J351" s="30" t="s">
        <v>572</v>
      </c>
      <c r="K351" s="30" t="s">
        <v>573</v>
      </c>
      <c r="L351" s="30" t="s">
        <v>194</v>
      </c>
      <c r="M351" s="30" t="s">
        <v>195</v>
      </c>
      <c r="N351" s="30" t="s">
        <v>397</v>
      </c>
      <c r="O351" s="30">
        <v>2474694.1800000002</v>
      </c>
      <c r="P351" s="30">
        <v>1486.64</v>
      </c>
      <c r="Q351" s="30" t="s">
        <v>168</v>
      </c>
      <c r="R351" s="30" t="s">
        <v>169</v>
      </c>
      <c r="S351" s="30"/>
      <c r="T351" s="30"/>
      <c r="U351" s="30"/>
      <c r="V351" s="30" t="s">
        <v>172</v>
      </c>
      <c r="W351" s="30" t="s">
        <v>282</v>
      </c>
      <c r="X351" s="30" t="s">
        <v>228</v>
      </c>
      <c r="Y351" s="30" t="s">
        <v>866</v>
      </c>
      <c r="Z351" s="30">
        <v>7</v>
      </c>
      <c r="AA351" s="30" t="s">
        <v>575</v>
      </c>
      <c r="AB351" s="30">
        <v>11</v>
      </c>
      <c r="AC351" s="30" t="s">
        <v>177</v>
      </c>
      <c r="AD351" s="30" t="s">
        <v>178</v>
      </c>
      <c r="AE351" s="30" t="s">
        <v>8</v>
      </c>
      <c r="AF351" s="30" t="s">
        <v>28</v>
      </c>
      <c r="AG351" s="30" t="s">
        <v>9</v>
      </c>
      <c r="AH351" s="30" t="s">
        <v>6</v>
      </c>
      <c r="AI351" s="30"/>
    </row>
    <row r="352" spans="1:35" x14ac:dyDescent="0.3">
      <c r="A352" s="30">
        <v>170</v>
      </c>
      <c r="B352" s="30" t="s">
        <v>569</v>
      </c>
      <c r="C352" s="30" t="s">
        <v>570</v>
      </c>
      <c r="D352" s="31">
        <v>46112</v>
      </c>
      <c r="E352" s="30">
        <v>515</v>
      </c>
      <c r="F352" s="30">
        <v>0</v>
      </c>
      <c r="G352" s="32">
        <v>2290069380</v>
      </c>
      <c r="H352" s="30">
        <v>-7638243756</v>
      </c>
      <c r="I352" s="30" t="s">
        <v>867</v>
      </c>
      <c r="J352" s="30" t="s">
        <v>572</v>
      </c>
      <c r="K352" s="30" t="s">
        <v>573</v>
      </c>
      <c r="L352" s="30" t="s">
        <v>194</v>
      </c>
      <c r="M352" s="30" t="s">
        <v>195</v>
      </c>
      <c r="N352" s="30" t="s">
        <v>397</v>
      </c>
      <c r="O352" s="30">
        <v>1540433.04</v>
      </c>
      <c r="P352" s="30">
        <v>1486.64</v>
      </c>
      <c r="Q352" s="30" t="s">
        <v>168</v>
      </c>
      <c r="R352" s="30" t="s">
        <v>169</v>
      </c>
      <c r="S352" s="30"/>
      <c r="T352" s="30"/>
      <c r="U352" s="30"/>
      <c r="V352" s="30" t="s">
        <v>172</v>
      </c>
      <c r="W352" s="30" t="s">
        <v>282</v>
      </c>
      <c r="X352" s="30" t="s">
        <v>228</v>
      </c>
      <c r="Y352" s="30" t="s">
        <v>866</v>
      </c>
      <c r="Z352" s="30">
        <v>8</v>
      </c>
      <c r="AA352" s="30" t="s">
        <v>575</v>
      </c>
      <c r="AB352" s="30">
        <v>11</v>
      </c>
      <c r="AC352" s="30" t="s">
        <v>177</v>
      </c>
      <c r="AD352" s="30" t="s">
        <v>178</v>
      </c>
      <c r="AE352" s="30" t="s">
        <v>8</v>
      </c>
      <c r="AF352" s="30" t="s">
        <v>28</v>
      </c>
      <c r="AG352" s="30" t="s">
        <v>9</v>
      </c>
      <c r="AH352" s="30" t="s">
        <v>6</v>
      </c>
      <c r="AI352" s="30"/>
    </row>
    <row r="353" spans="1:35" x14ac:dyDescent="0.3">
      <c r="A353" s="30">
        <v>171</v>
      </c>
      <c r="B353" s="30" t="s">
        <v>569</v>
      </c>
      <c r="C353" s="30" t="s">
        <v>570</v>
      </c>
      <c r="D353" s="31">
        <v>46112</v>
      </c>
      <c r="E353" s="30">
        <v>515</v>
      </c>
      <c r="F353" s="30">
        <v>0</v>
      </c>
      <c r="G353" s="32">
        <v>11722815185</v>
      </c>
      <c r="H353" s="30">
        <v>4084571429</v>
      </c>
      <c r="I353" s="30" t="s">
        <v>868</v>
      </c>
      <c r="J353" s="30" t="s">
        <v>572</v>
      </c>
      <c r="K353" s="30" t="s">
        <v>573</v>
      </c>
      <c r="L353" s="30" t="s">
        <v>194</v>
      </c>
      <c r="M353" s="30" t="s">
        <v>195</v>
      </c>
      <c r="N353" s="30" t="s">
        <v>397</v>
      </c>
      <c r="O353" s="30">
        <v>7885443.1399999997</v>
      </c>
      <c r="P353" s="30">
        <v>1486.64</v>
      </c>
      <c r="Q353" s="30" t="s">
        <v>168</v>
      </c>
      <c r="R353" s="30" t="s">
        <v>169</v>
      </c>
      <c r="S353" s="30"/>
      <c r="T353" s="30"/>
      <c r="U353" s="30"/>
      <c r="V353" s="30" t="s">
        <v>172</v>
      </c>
      <c r="W353" s="30" t="s">
        <v>282</v>
      </c>
      <c r="X353" s="30" t="s">
        <v>228</v>
      </c>
      <c r="Y353" s="30" t="s">
        <v>866</v>
      </c>
      <c r="Z353" s="30">
        <v>9</v>
      </c>
      <c r="AA353" s="30" t="s">
        <v>575</v>
      </c>
      <c r="AB353" s="30">
        <v>11</v>
      </c>
      <c r="AC353" s="30" t="s">
        <v>177</v>
      </c>
      <c r="AD353" s="30" t="s">
        <v>178</v>
      </c>
      <c r="AE353" s="30" t="s">
        <v>8</v>
      </c>
      <c r="AF353" s="30" t="s">
        <v>28</v>
      </c>
      <c r="AG353" s="30" t="s">
        <v>9</v>
      </c>
      <c r="AH353" s="30" t="s">
        <v>6</v>
      </c>
      <c r="AI353" s="30"/>
    </row>
    <row r="354" spans="1:35" x14ac:dyDescent="0.3">
      <c r="A354" s="30">
        <v>172</v>
      </c>
      <c r="B354" s="30" t="s">
        <v>569</v>
      </c>
      <c r="C354" s="30" t="s">
        <v>570</v>
      </c>
      <c r="D354" s="31">
        <v>46112</v>
      </c>
      <c r="E354" s="30">
        <v>516</v>
      </c>
      <c r="F354" s="30">
        <v>0</v>
      </c>
      <c r="G354" s="32">
        <v>1010274739</v>
      </c>
      <c r="H354" s="30">
        <v>5094846168</v>
      </c>
      <c r="I354" s="30" t="s">
        <v>869</v>
      </c>
      <c r="J354" s="30" t="s">
        <v>689</v>
      </c>
      <c r="K354" s="30" t="s">
        <v>690</v>
      </c>
      <c r="L354" s="30" t="s">
        <v>194</v>
      </c>
      <c r="M354" s="30" t="s">
        <v>195</v>
      </c>
      <c r="N354" s="30" t="s">
        <v>397</v>
      </c>
      <c r="O354" s="30">
        <v>697068.11</v>
      </c>
      <c r="P354" s="30">
        <v>1449.32</v>
      </c>
      <c r="Q354" s="30" t="s">
        <v>168</v>
      </c>
      <c r="R354" s="30" t="s">
        <v>169</v>
      </c>
      <c r="S354" s="30"/>
      <c r="T354" s="30"/>
      <c r="U354" s="30"/>
      <c r="V354" s="30" t="s">
        <v>172</v>
      </c>
      <c r="W354" s="30" t="s">
        <v>282</v>
      </c>
      <c r="X354" s="30" t="s">
        <v>228</v>
      </c>
      <c r="Y354" s="30" t="s">
        <v>870</v>
      </c>
      <c r="Z354" s="30">
        <v>5</v>
      </c>
      <c r="AA354" s="30" t="s">
        <v>575</v>
      </c>
      <c r="AB354" s="30">
        <v>11</v>
      </c>
      <c r="AC354" s="30" t="s">
        <v>177</v>
      </c>
      <c r="AD354" s="30" t="s">
        <v>178</v>
      </c>
      <c r="AE354" s="30" t="s">
        <v>8</v>
      </c>
      <c r="AF354" s="30" t="s">
        <v>28</v>
      </c>
      <c r="AG354" s="30" t="s">
        <v>13</v>
      </c>
      <c r="AH354" s="30" t="s">
        <v>6</v>
      </c>
      <c r="AI354" s="30"/>
    </row>
    <row r="355" spans="1:35" x14ac:dyDescent="0.3">
      <c r="A355" s="30">
        <v>173</v>
      </c>
      <c r="B355" s="30" t="s">
        <v>569</v>
      </c>
      <c r="C355" s="30" t="s">
        <v>570</v>
      </c>
      <c r="D355" s="31">
        <v>46112</v>
      </c>
      <c r="E355" s="30">
        <v>519</v>
      </c>
      <c r="F355" s="30">
        <v>0</v>
      </c>
      <c r="G355" s="32">
        <v>1334451398</v>
      </c>
      <c r="H355" s="30">
        <v>6429297566</v>
      </c>
      <c r="I355" s="30" t="s">
        <v>871</v>
      </c>
      <c r="J355" s="30" t="s">
        <v>693</v>
      </c>
      <c r="K355" s="30" t="s">
        <v>694</v>
      </c>
      <c r="L355" s="30" t="s">
        <v>194</v>
      </c>
      <c r="M355" s="30" t="s">
        <v>195</v>
      </c>
      <c r="N355" s="30" t="s">
        <v>167</v>
      </c>
      <c r="O355" s="30">
        <v>1334451398</v>
      </c>
      <c r="P355" s="30">
        <v>1</v>
      </c>
      <c r="Q355" s="30" t="s">
        <v>168</v>
      </c>
      <c r="R355" s="30" t="s">
        <v>169</v>
      </c>
      <c r="S355" s="30"/>
      <c r="T355" s="30"/>
      <c r="U355" s="30"/>
      <c r="V355" s="30" t="s">
        <v>172</v>
      </c>
      <c r="W355" s="30" t="s">
        <v>282</v>
      </c>
      <c r="X355" s="30" t="s">
        <v>228</v>
      </c>
      <c r="Y355" s="30" t="s">
        <v>872</v>
      </c>
      <c r="Z355" s="30">
        <v>7</v>
      </c>
      <c r="AA355" s="30" t="s">
        <v>575</v>
      </c>
      <c r="AB355" s="30">
        <v>11</v>
      </c>
      <c r="AC355" s="30" t="s">
        <v>177</v>
      </c>
      <c r="AD355" s="30" t="s">
        <v>178</v>
      </c>
      <c r="AE355" s="30" t="s">
        <v>8</v>
      </c>
      <c r="AF355" s="30" t="s">
        <v>28</v>
      </c>
      <c r="AG355" s="30" t="s">
        <v>11</v>
      </c>
      <c r="AH355" s="30" t="s">
        <v>6</v>
      </c>
      <c r="AI355" s="30" t="s">
        <v>34</v>
      </c>
    </row>
    <row r="356" spans="1:35" x14ac:dyDescent="0.3">
      <c r="A356" s="30">
        <v>174</v>
      </c>
      <c r="B356" s="30" t="s">
        <v>569</v>
      </c>
      <c r="C356" s="30" t="s">
        <v>570</v>
      </c>
      <c r="D356" s="31">
        <v>46112</v>
      </c>
      <c r="E356" s="30">
        <v>519</v>
      </c>
      <c r="F356" s="30">
        <v>0</v>
      </c>
      <c r="G356" s="32">
        <v>878318194</v>
      </c>
      <c r="H356" s="30">
        <v>7307615760</v>
      </c>
      <c r="I356" s="30" t="s">
        <v>873</v>
      </c>
      <c r="J356" s="30" t="s">
        <v>697</v>
      </c>
      <c r="K356" s="30" t="s">
        <v>698</v>
      </c>
      <c r="L356" s="30" t="s">
        <v>194</v>
      </c>
      <c r="M356" s="30" t="s">
        <v>195</v>
      </c>
      <c r="N356" s="30" t="s">
        <v>167</v>
      </c>
      <c r="O356" s="30">
        <v>878318194</v>
      </c>
      <c r="P356" s="30">
        <v>1</v>
      </c>
      <c r="Q356" s="30" t="s">
        <v>168</v>
      </c>
      <c r="R356" s="30" t="s">
        <v>169</v>
      </c>
      <c r="S356" s="30"/>
      <c r="T356" s="30"/>
      <c r="U356" s="30"/>
      <c r="V356" s="30" t="s">
        <v>172</v>
      </c>
      <c r="W356" s="30" t="s">
        <v>282</v>
      </c>
      <c r="X356" s="30" t="s">
        <v>228</v>
      </c>
      <c r="Y356" s="30" t="s">
        <v>872</v>
      </c>
      <c r="Z356" s="30">
        <v>8</v>
      </c>
      <c r="AA356" s="30" t="s">
        <v>575</v>
      </c>
      <c r="AB356" s="30">
        <v>11</v>
      </c>
      <c r="AC356" s="30" t="s">
        <v>177</v>
      </c>
      <c r="AD356" s="30" t="s">
        <v>178</v>
      </c>
      <c r="AE356" s="30" t="s">
        <v>8</v>
      </c>
      <c r="AF356" s="30" t="s">
        <v>28</v>
      </c>
      <c r="AG356" s="30" t="s">
        <v>11</v>
      </c>
      <c r="AH356" s="30" t="s">
        <v>6</v>
      </c>
      <c r="AI356" s="30" t="s">
        <v>34</v>
      </c>
    </row>
    <row r="357" spans="1:35" x14ac:dyDescent="0.3">
      <c r="A357" s="30">
        <v>175</v>
      </c>
      <c r="B357" s="30" t="s">
        <v>569</v>
      </c>
      <c r="C357" s="30" t="s">
        <v>570</v>
      </c>
      <c r="D357" s="31">
        <v>46112</v>
      </c>
      <c r="E357" s="30">
        <v>519</v>
      </c>
      <c r="F357" s="30">
        <v>0</v>
      </c>
      <c r="G357" s="32">
        <v>2096292195</v>
      </c>
      <c r="H357" s="30">
        <v>9403907955</v>
      </c>
      <c r="I357" s="30" t="s">
        <v>874</v>
      </c>
      <c r="J357" s="30" t="s">
        <v>700</v>
      </c>
      <c r="K357" s="30" t="s">
        <v>701</v>
      </c>
      <c r="L357" s="30" t="s">
        <v>194</v>
      </c>
      <c r="M357" s="30" t="s">
        <v>195</v>
      </c>
      <c r="N357" s="30" t="s">
        <v>167</v>
      </c>
      <c r="O357" s="30">
        <v>2096292195</v>
      </c>
      <c r="P357" s="30">
        <v>1</v>
      </c>
      <c r="Q357" s="30" t="s">
        <v>168</v>
      </c>
      <c r="R357" s="30" t="s">
        <v>169</v>
      </c>
      <c r="S357" s="30"/>
      <c r="T357" s="30"/>
      <c r="U357" s="30"/>
      <c r="V357" s="30" t="s">
        <v>172</v>
      </c>
      <c r="W357" s="30" t="s">
        <v>282</v>
      </c>
      <c r="X357" s="30" t="s">
        <v>228</v>
      </c>
      <c r="Y357" s="30" t="s">
        <v>872</v>
      </c>
      <c r="Z357" s="30">
        <v>9</v>
      </c>
      <c r="AA357" s="30" t="s">
        <v>575</v>
      </c>
      <c r="AB357" s="30">
        <v>11</v>
      </c>
      <c r="AC357" s="30" t="s">
        <v>177</v>
      </c>
      <c r="AD357" s="30" t="s">
        <v>178</v>
      </c>
      <c r="AE357" s="30" t="s">
        <v>8</v>
      </c>
      <c r="AF357" s="30" t="s">
        <v>28</v>
      </c>
      <c r="AG357" s="30" t="s">
        <v>11</v>
      </c>
      <c r="AH357" s="30" t="s">
        <v>6</v>
      </c>
      <c r="AI357" s="30" t="s">
        <v>34</v>
      </c>
    </row>
    <row r="358" spans="1:35" x14ac:dyDescent="0.3">
      <c r="A358" s="30">
        <v>176</v>
      </c>
      <c r="B358" s="30" t="s">
        <v>569</v>
      </c>
      <c r="C358" s="30" t="s">
        <v>570</v>
      </c>
      <c r="D358" s="31">
        <v>46112</v>
      </c>
      <c r="E358" s="30">
        <v>524</v>
      </c>
      <c r="F358" s="30">
        <v>0</v>
      </c>
      <c r="G358" s="32">
        <v>861867208</v>
      </c>
      <c r="H358" s="30">
        <v>10265775163</v>
      </c>
      <c r="I358" s="30" t="s">
        <v>875</v>
      </c>
      <c r="J358" s="30" t="s">
        <v>689</v>
      </c>
      <c r="K358" s="30" t="s">
        <v>690</v>
      </c>
      <c r="L358" s="30" t="s">
        <v>194</v>
      </c>
      <c r="M358" s="30" t="s">
        <v>195</v>
      </c>
      <c r="N358" s="30" t="s">
        <v>397</v>
      </c>
      <c r="O358" s="30">
        <v>579741.69999999995</v>
      </c>
      <c r="P358" s="30">
        <v>1486.64</v>
      </c>
      <c r="Q358" s="30" t="s">
        <v>168</v>
      </c>
      <c r="R358" s="30" t="s">
        <v>169</v>
      </c>
      <c r="S358" s="30"/>
      <c r="T358" s="30"/>
      <c r="U358" s="30"/>
      <c r="V358" s="30" t="s">
        <v>172</v>
      </c>
      <c r="W358" s="30" t="s">
        <v>282</v>
      </c>
      <c r="X358" s="30" t="s">
        <v>228</v>
      </c>
      <c r="Y358" s="30" t="s">
        <v>876</v>
      </c>
      <c r="Z358" s="30">
        <v>3</v>
      </c>
      <c r="AA358" s="30" t="s">
        <v>575</v>
      </c>
      <c r="AB358" s="30">
        <v>11</v>
      </c>
      <c r="AC358" s="30" t="s">
        <v>177</v>
      </c>
      <c r="AD358" s="30" t="s">
        <v>178</v>
      </c>
      <c r="AE358" s="30" t="s">
        <v>8</v>
      </c>
      <c r="AF358" s="30" t="s">
        <v>28</v>
      </c>
      <c r="AG358" s="30" t="s">
        <v>13</v>
      </c>
      <c r="AH358" s="30" t="s">
        <v>6</v>
      </c>
      <c r="AI358" s="30"/>
    </row>
    <row r="359" spans="1:35" x14ac:dyDescent="0.3">
      <c r="A359" s="30">
        <v>177</v>
      </c>
      <c r="B359" s="30" t="s">
        <v>569</v>
      </c>
      <c r="C359" s="30" t="s">
        <v>570</v>
      </c>
      <c r="D359" s="31">
        <v>46112</v>
      </c>
      <c r="E359" s="30">
        <v>526</v>
      </c>
      <c r="F359" s="30">
        <v>0</v>
      </c>
      <c r="G359" s="32">
        <v>5929740705</v>
      </c>
      <c r="H359" s="30">
        <v>16195515868</v>
      </c>
      <c r="I359" s="30" t="s">
        <v>877</v>
      </c>
      <c r="J359" s="30" t="s">
        <v>675</v>
      </c>
      <c r="K359" s="30" t="s">
        <v>676</v>
      </c>
      <c r="L359" s="30" t="s">
        <v>194</v>
      </c>
      <c r="M359" s="30" t="s">
        <v>195</v>
      </c>
      <c r="N359" s="30" t="s">
        <v>167</v>
      </c>
      <c r="O359" s="30">
        <v>5929740705</v>
      </c>
      <c r="P359" s="30">
        <v>1</v>
      </c>
      <c r="Q359" s="30" t="s">
        <v>168</v>
      </c>
      <c r="R359" s="30" t="s">
        <v>169</v>
      </c>
      <c r="S359" s="30"/>
      <c r="T359" s="30"/>
      <c r="U359" s="30"/>
      <c r="V359" s="30" t="s">
        <v>172</v>
      </c>
      <c r="W359" s="30" t="s">
        <v>282</v>
      </c>
      <c r="X359" s="30" t="s">
        <v>228</v>
      </c>
      <c r="Y359" s="30" t="s">
        <v>878</v>
      </c>
      <c r="Z359" s="30">
        <v>5</v>
      </c>
      <c r="AA359" s="30" t="s">
        <v>575</v>
      </c>
      <c r="AB359" s="30">
        <v>11</v>
      </c>
      <c r="AC359" s="30" t="s">
        <v>177</v>
      </c>
      <c r="AD359" s="30" t="s">
        <v>178</v>
      </c>
      <c r="AE359" s="30" t="s">
        <v>8</v>
      </c>
      <c r="AF359" s="30" t="s">
        <v>28</v>
      </c>
      <c r="AG359" s="30" t="s">
        <v>10</v>
      </c>
      <c r="AH359" s="30" t="s">
        <v>6</v>
      </c>
      <c r="AI359" s="30"/>
    </row>
    <row r="360" spans="1:35" x14ac:dyDescent="0.3">
      <c r="A360" s="30">
        <v>178</v>
      </c>
      <c r="B360" s="30" t="s">
        <v>569</v>
      </c>
      <c r="C360" s="30" t="s">
        <v>570</v>
      </c>
      <c r="D360" s="31">
        <v>46112</v>
      </c>
      <c r="E360" s="30">
        <v>526</v>
      </c>
      <c r="F360" s="30">
        <v>0</v>
      </c>
      <c r="G360" s="32">
        <v>803760884</v>
      </c>
      <c r="H360" s="30">
        <v>16999276752</v>
      </c>
      <c r="I360" s="30" t="s">
        <v>879</v>
      </c>
      <c r="J360" s="30" t="s">
        <v>675</v>
      </c>
      <c r="K360" s="30" t="s">
        <v>676</v>
      </c>
      <c r="L360" s="30" t="s">
        <v>194</v>
      </c>
      <c r="M360" s="30" t="s">
        <v>195</v>
      </c>
      <c r="N360" s="30" t="s">
        <v>167</v>
      </c>
      <c r="O360" s="30">
        <v>803760884</v>
      </c>
      <c r="P360" s="30">
        <v>1</v>
      </c>
      <c r="Q360" s="30" t="s">
        <v>168</v>
      </c>
      <c r="R360" s="30" t="s">
        <v>169</v>
      </c>
      <c r="S360" s="30"/>
      <c r="T360" s="30"/>
      <c r="U360" s="30"/>
      <c r="V360" s="30" t="s">
        <v>172</v>
      </c>
      <c r="W360" s="30" t="s">
        <v>282</v>
      </c>
      <c r="X360" s="30" t="s">
        <v>228</v>
      </c>
      <c r="Y360" s="30" t="s">
        <v>878</v>
      </c>
      <c r="Z360" s="30">
        <v>6</v>
      </c>
      <c r="AA360" s="30" t="s">
        <v>575</v>
      </c>
      <c r="AB360" s="30">
        <v>11</v>
      </c>
      <c r="AC360" s="30" t="s">
        <v>177</v>
      </c>
      <c r="AD360" s="30" t="s">
        <v>178</v>
      </c>
      <c r="AE360" s="30" t="s">
        <v>8</v>
      </c>
      <c r="AF360" s="30" t="s">
        <v>28</v>
      </c>
      <c r="AG360" s="30" t="s">
        <v>10</v>
      </c>
      <c r="AH360" s="30" t="s">
        <v>6</v>
      </c>
      <c r="AI360" s="30"/>
    </row>
    <row r="361" spans="1:35" x14ac:dyDescent="0.3">
      <c r="A361" s="30">
        <v>179</v>
      </c>
      <c r="B361" s="30" t="s">
        <v>569</v>
      </c>
      <c r="C361" s="30" t="s">
        <v>570</v>
      </c>
      <c r="D361" s="31">
        <v>46112</v>
      </c>
      <c r="E361" s="30">
        <v>526</v>
      </c>
      <c r="F361" s="30">
        <v>0</v>
      </c>
      <c r="G361" s="32">
        <v>7351160427</v>
      </c>
      <c r="H361" s="30">
        <v>24350437179</v>
      </c>
      <c r="I361" s="30" t="s">
        <v>880</v>
      </c>
      <c r="J361" s="30" t="s">
        <v>675</v>
      </c>
      <c r="K361" s="30" t="s">
        <v>676</v>
      </c>
      <c r="L361" s="30" t="s">
        <v>194</v>
      </c>
      <c r="M361" s="30" t="s">
        <v>195</v>
      </c>
      <c r="N361" s="30" t="s">
        <v>167</v>
      </c>
      <c r="O361" s="30">
        <v>7351160427</v>
      </c>
      <c r="P361" s="30">
        <v>1</v>
      </c>
      <c r="Q361" s="30" t="s">
        <v>168</v>
      </c>
      <c r="R361" s="30" t="s">
        <v>169</v>
      </c>
      <c r="S361" s="30"/>
      <c r="T361" s="30"/>
      <c r="U361" s="30"/>
      <c r="V361" s="30" t="s">
        <v>172</v>
      </c>
      <c r="W361" s="30" t="s">
        <v>282</v>
      </c>
      <c r="X361" s="30" t="s">
        <v>228</v>
      </c>
      <c r="Y361" s="30" t="s">
        <v>878</v>
      </c>
      <c r="Z361" s="30">
        <v>7</v>
      </c>
      <c r="AA361" s="30" t="s">
        <v>575</v>
      </c>
      <c r="AB361" s="30">
        <v>11</v>
      </c>
      <c r="AC361" s="30" t="s">
        <v>177</v>
      </c>
      <c r="AD361" s="30" t="s">
        <v>178</v>
      </c>
      <c r="AE361" s="30" t="s">
        <v>8</v>
      </c>
      <c r="AF361" s="30" t="s">
        <v>28</v>
      </c>
      <c r="AG361" s="30" t="s">
        <v>10</v>
      </c>
      <c r="AH361" s="30" t="s">
        <v>6</v>
      </c>
      <c r="AI361" s="30"/>
    </row>
    <row r="362" spans="1:35" x14ac:dyDescent="0.3">
      <c r="A362" s="30">
        <v>180</v>
      </c>
      <c r="B362" s="30" t="s">
        <v>569</v>
      </c>
      <c r="C362" s="30" t="s">
        <v>570</v>
      </c>
      <c r="D362" s="31">
        <v>46112</v>
      </c>
      <c r="E362" s="30">
        <v>527</v>
      </c>
      <c r="F362" s="30">
        <v>0</v>
      </c>
      <c r="G362" s="32">
        <v>5899015255</v>
      </c>
      <c r="H362" s="30">
        <v>30249452434</v>
      </c>
      <c r="I362" s="30" t="s">
        <v>881</v>
      </c>
      <c r="J362" s="30" t="s">
        <v>675</v>
      </c>
      <c r="K362" s="30" t="s">
        <v>676</v>
      </c>
      <c r="L362" s="30" t="s">
        <v>194</v>
      </c>
      <c r="M362" s="30" t="s">
        <v>195</v>
      </c>
      <c r="N362" s="30" t="s">
        <v>167</v>
      </c>
      <c r="O362" s="30">
        <v>5899015255</v>
      </c>
      <c r="P362" s="30">
        <v>1</v>
      </c>
      <c r="Q362" s="30" t="s">
        <v>168</v>
      </c>
      <c r="R362" s="30" t="s">
        <v>169</v>
      </c>
      <c r="S362" s="30"/>
      <c r="T362" s="30"/>
      <c r="U362" s="30"/>
      <c r="V362" s="30" t="s">
        <v>172</v>
      </c>
      <c r="W362" s="30" t="s">
        <v>282</v>
      </c>
      <c r="X362" s="30" t="s">
        <v>228</v>
      </c>
      <c r="Y362" s="30" t="s">
        <v>882</v>
      </c>
      <c r="Z362" s="30">
        <v>5</v>
      </c>
      <c r="AA362" s="30" t="s">
        <v>575</v>
      </c>
      <c r="AB362" s="30">
        <v>11</v>
      </c>
      <c r="AC362" s="30" t="s">
        <v>177</v>
      </c>
      <c r="AD362" s="30" t="s">
        <v>178</v>
      </c>
      <c r="AE362" s="30" t="s">
        <v>8</v>
      </c>
      <c r="AF362" s="30" t="s">
        <v>28</v>
      </c>
      <c r="AG362" s="30" t="s">
        <v>10</v>
      </c>
      <c r="AH362" s="30" t="s">
        <v>6</v>
      </c>
      <c r="AI362" s="30"/>
    </row>
    <row r="363" spans="1:35" x14ac:dyDescent="0.3">
      <c r="A363" s="30">
        <v>181</v>
      </c>
      <c r="B363" s="30" t="s">
        <v>569</v>
      </c>
      <c r="C363" s="30" t="s">
        <v>570</v>
      </c>
      <c r="D363" s="31">
        <v>46112</v>
      </c>
      <c r="E363" s="30">
        <v>527</v>
      </c>
      <c r="F363" s="30">
        <v>0</v>
      </c>
      <c r="G363" s="32">
        <v>920847785</v>
      </c>
      <c r="H363" s="30">
        <v>31170300219</v>
      </c>
      <c r="I363" s="30" t="s">
        <v>883</v>
      </c>
      <c r="J363" s="30" t="s">
        <v>675</v>
      </c>
      <c r="K363" s="30" t="s">
        <v>676</v>
      </c>
      <c r="L363" s="30" t="s">
        <v>194</v>
      </c>
      <c r="M363" s="30" t="s">
        <v>195</v>
      </c>
      <c r="N363" s="30" t="s">
        <v>167</v>
      </c>
      <c r="O363" s="30">
        <v>920847785</v>
      </c>
      <c r="P363" s="30">
        <v>1</v>
      </c>
      <c r="Q363" s="30" t="s">
        <v>168</v>
      </c>
      <c r="R363" s="30" t="s">
        <v>169</v>
      </c>
      <c r="S363" s="30"/>
      <c r="T363" s="30"/>
      <c r="U363" s="30"/>
      <c r="V363" s="30" t="s">
        <v>172</v>
      </c>
      <c r="W363" s="30" t="s">
        <v>282</v>
      </c>
      <c r="X363" s="30" t="s">
        <v>228</v>
      </c>
      <c r="Y363" s="30" t="s">
        <v>882</v>
      </c>
      <c r="Z363" s="30">
        <v>6</v>
      </c>
      <c r="AA363" s="30" t="s">
        <v>575</v>
      </c>
      <c r="AB363" s="30">
        <v>11</v>
      </c>
      <c r="AC363" s="30" t="s">
        <v>177</v>
      </c>
      <c r="AD363" s="30" t="s">
        <v>178</v>
      </c>
      <c r="AE363" s="30" t="s">
        <v>8</v>
      </c>
      <c r="AF363" s="30" t="s">
        <v>28</v>
      </c>
      <c r="AG363" s="30" t="s">
        <v>10</v>
      </c>
      <c r="AH363" s="30" t="s">
        <v>6</v>
      </c>
      <c r="AI363" s="30"/>
    </row>
    <row r="364" spans="1:35" x14ac:dyDescent="0.3">
      <c r="A364" s="30">
        <v>182</v>
      </c>
      <c r="B364" s="30" t="s">
        <v>569</v>
      </c>
      <c r="C364" s="30" t="s">
        <v>570</v>
      </c>
      <c r="D364" s="31">
        <v>46112</v>
      </c>
      <c r="E364" s="30">
        <v>527</v>
      </c>
      <c r="F364" s="30">
        <v>0</v>
      </c>
      <c r="G364" s="32">
        <v>6711578146</v>
      </c>
      <c r="H364" s="30">
        <v>37881878365</v>
      </c>
      <c r="I364" s="30" t="s">
        <v>884</v>
      </c>
      <c r="J364" s="30" t="s">
        <v>675</v>
      </c>
      <c r="K364" s="30" t="s">
        <v>676</v>
      </c>
      <c r="L364" s="30" t="s">
        <v>194</v>
      </c>
      <c r="M364" s="30" t="s">
        <v>195</v>
      </c>
      <c r="N364" s="30" t="s">
        <v>167</v>
      </c>
      <c r="O364" s="30">
        <v>6711578146</v>
      </c>
      <c r="P364" s="30">
        <v>1</v>
      </c>
      <c r="Q364" s="30" t="s">
        <v>168</v>
      </c>
      <c r="R364" s="30" t="s">
        <v>169</v>
      </c>
      <c r="S364" s="30"/>
      <c r="T364" s="30"/>
      <c r="U364" s="30"/>
      <c r="V364" s="30" t="s">
        <v>172</v>
      </c>
      <c r="W364" s="30" t="s">
        <v>282</v>
      </c>
      <c r="X364" s="30" t="s">
        <v>228</v>
      </c>
      <c r="Y364" s="30" t="s">
        <v>882</v>
      </c>
      <c r="Z364" s="30">
        <v>7</v>
      </c>
      <c r="AA364" s="30" t="s">
        <v>575</v>
      </c>
      <c r="AB364" s="30">
        <v>11</v>
      </c>
      <c r="AC364" s="30" t="s">
        <v>177</v>
      </c>
      <c r="AD364" s="30" t="s">
        <v>178</v>
      </c>
      <c r="AE364" s="30" t="s">
        <v>8</v>
      </c>
      <c r="AF364" s="30" t="s">
        <v>28</v>
      </c>
      <c r="AG364" s="30" t="s">
        <v>10</v>
      </c>
      <c r="AH364" s="30" t="s">
        <v>6</v>
      </c>
      <c r="AI364" s="30"/>
    </row>
    <row r="365" spans="1:35" x14ac:dyDescent="0.3">
      <c r="A365" s="30">
        <v>183</v>
      </c>
      <c r="B365" s="30" t="s">
        <v>569</v>
      </c>
      <c r="C365" s="30" t="s">
        <v>570</v>
      </c>
      <c r="D365" s="31">
        <v>46112</v>
      </c>
      <c r="E365" s="30">
        <v>525</v>
      </c>
      <c r="F365" s="30">
        <v>0</v>
      </c>
      <c r="G365" s="32">
        <v>752014</v>
      </c>
      <c r="H365" s="30">
        <v>37882630379</v>
      </c>
      <c r="I365" s="30" t="s">
        <v>885</v>
      </c>
      <c r="J365" s="30" t="s">
        <v>720</v>
      </c>
      <c r="K365" s="30" t="s">
        <v>29</v>
      </c>
      <c r="L365" s="30" t="s">
        <v>194</v>
      </c>
      <c r="M365" s="30" t="s">
        <v>195</v>
      </c>
      <c r="N365" s="30" t="s">
        <v>721</v>
      </c>
      <c r="O365" s="30">
        <v>437.66</v>
      </c>
      <c r="P365" s="30">
        <v>1718.26</v>
      </c>
      <c r="Q365" s="30" t="s">
        <v>168</v>
      </c>
      <c r="R365" s="30" t="s">
        <v>169</v>
      </c>
      <c r="S365" s="30"/>
      <c r="T365" s="30"/>
      <c r="U365" s="30"/>
      <c r="V365" s="30" t="s">
        <v>172</v>
      </c>
      <c r="W365" s="30" t="s">
        <v>282</v>
      </c>
      <c r="X365" s="30" t="s">
        <v>228</v>
      </c>
      <c r="Y365" s="30" t="s">
        <v>886</v>
      </c>
      <c r="Z365" s="30">
        <v>9</v>
      </c>
      <c r="AA365" s="30" t="s">
        <v>575</v>
      </c>
      <c r="AB365" s="30">
        <v>11</v>
      </c>
      <c r="AC365" s="30" t="s">
        <v>177</v>
      </c>
      <c r="AD365" s="30" t="s">
        <v>178</v>
      </c>
      <c r="AE365" s="30" t="s">
        <v>8</v>
      </c>
      <c r="AF365" s="30" t="s">
        <v>28</v>
      </c>
      <c r="AG365" s="30" t="s">
        <v>29</v>
      </c>
      <c r="AH365" s="30" t="s">
        <v>6</v>
      </c>
      <c r="AI365" s="30"/>
    </row>
    <row r="366" spans="1:35" x14ac:dyDescent="0.3">
      <c r="A366" s="30">
        <v>184</v>
      </c>
      <c r="B366" s="30" t="s">
        <v>569</v>
      </c>
      <c r="C366" s="30" t="s">
        <v>570</v>
      </c>
      <c r="D366" s="31">
        <v>46112</v>
      </c>
      <c r="E366" s="30">
        <v>525</v>
      </c>
      <c r="F366" s="30">
        <v>0</v>
      </c>
      <c r="G366" s="32">
        <v>29702</v>
      </c>
      <c r="H366" s="30">
        <v>37882660081</v>
      </c>
      <c r="I366" s="30" t="s">
        <v>887</v>
      </c>
      <c r="J366" s="30" t="s">
        <v>720</v>
      </c>
      <c r="K366" s="30" t="s">
        <v>29</v>
      </c>
      <c r="L366" s="30" t="s">
        <v>194</v>
      </c>
      <c r="M366" s="30" t="s">
        <v>195</v>
      </c>
      <c r="N366" s="30" t="s">
        <v>724</v>
      </c>
      <c r="O366" s="30">
        <v>14.97</v>
      </c>
      <c r="P366" s="30">
        <v>1984.13</v>
      </c>
      <c r="Q366" s="30" t="s">
        <v>168</v>
      </c>
      <c r="R366" s="30" t="s">
        <v>169</v>
      </c>
      <c r="S366" s="30"/>
      <c r="T366" s="30"/>
      <c r="U366" s="30"/>
      <c r="V366" s="30" t="s">
        <v>172</v>
      </c>
      <c r="W366" s="30" t="s">
        <v>282</v>
      </c>
      <c r="X366" s="30" t="s">
        <v>228</v>
      </c>
      <c r="Y366" s="30" t="s">
        <v>886</v>
      </c>
      <c r="Z366" s="30">
        <v>10</v>
      </c>
      <c r="AA366" s="30" t="s">
        <v>575</v>
      </c>
      <c r="AB366" s="30">
        <v>11</v>
      </c>
      <c r="AC366" s="30" t="s">
        <v>177</v>
      </c>
      <c r="AD366" s="30" t="s">
        <v>178</v>
      </c>
      <c r="AE366" s="30" t="s">
        <v>8</v>
      </c>
      <c r="AF366" s="30" t="s">
        <v>28</v>
      </c>
      <c r="AG366" s="30" t="s">
        <v>29</v>
      </c>
      <c r="AH366" s="30" t="s">
        <v>6</v>
      </c>
      <c r="AI366" s="30"/>
    </row>
    <row r="367" spans="1:35" x14ac:dyDescent="0.3">
      <c r="A367" s="30">
        <v>185</v>
      </c>
      <c r="B367" s="30" t="s">
        <v>569</v>
      </c>
      <c r="C367" s="30" t="s">
        <v>570</v>
      </c>
      <c r="D367" s="31">
        <v>46112</v>
      </c>
      <c r="E367" s="30">
        <v>525</v>
      </c>
      <c r="F367" s="30">
        <v>0</v>
      </c>
      <c r="G367" s="32">
        <v>22863185</v>
      </c>
      <c r="H367" s="30">
        <v>37905523266</v>
      </c>
      <c r="I367" s="30" t="s">
        <v>888</v>
      </c>
      <c r="J367" s="30" t="s">
        <v>720</v>
      </c>
      <c r="K367" s="30" t="s">
        <v>29</v>
      </c>
      <c r="L367" s="30" t="s">
        <v>194</v>
      </c>
      <c r="M367" s="30" t="s">
        <v>195</v>
      </c>
      <c r="N367" s="30" t="s">
        <v>397</v>
      </c>
      <c r="O367" s="30">
        <v>15379.1</v>
      </c>
      <c r="P367" s="30">
        <v>1486.64</v>
      </c>
      <c r="Q367" s="30" t="s">
        <v>168</v>
      </c>
      <c r="R367" s="30" t="s">
        <v>169</v>
      </c>
      <c r="S367" s="30"/>
      <c r="T367" s="30"/>
      <c r="U367" s="30"/>
      <c r="V367" s="30" t="s">
        <v>172</v>
      </c>
      <c r="W367" s="30" t="s">
        <v>282</v>
      </c>
      <c r="X367" s="30" t="s">
        <v>228</v>
      </c>
      <c r="Y367" s="30" t="s">
        <v>886</v>
      </c>
      <c r="Z367" s="30">
        <v>11</v>
      </c>
      <c r="AA367" s="30" t="s">
        <v>575</v>
      </c>
      <c r="AB367" s="30">
        <v>11</v>
      </c>
      <c r="AC367" s="30" t="s">
        <v>177</v>
      </c>
      <c r="AD367" s="30" t="s">
        <v>178</v>
      </c>
      <c r="AE367" s="30" t="s">
        <v>8</v>
      </c>
      <c r="AF367" s="30" t="s">
        <v>28</v>
      </c>
      <c r="AG367" s="30" t="s">
        <v>29</v>
      </c>
      <c r="AH367" s="30" t="s">
        <v>6</v>
      </c>
      <c r="AI367" s="30"/>
    </row>
    <row r="368" spans="1:35" x14ac:dyDescent="0.3">
      <c r="A368" s="30">
        <v>186</v>
      </c>
      <c r="B368" s="30" t="s">
        <v>569</v>
      </c>
      <c r="C368" s="30" t="s">
        <v>570</v>
      </c>
      <c r="D368" s="31">
        <v>46112</v>
      </c>
      <c r="E368" s="30">
        <v>525</v>
      </c>
      <c r="F368" s="30">
        <v>0</v>
      </c>
      <c r="G368" s="32">
        <v>688570</v>
      </c>
      <c r="H368" s="30">
        <v>37906211836</v>
      </c>
      <c r="I368" s="30" t="s">
        <v>889</v>
      </c>
      <c r="J368" s="30" t="s">
        <v>720</v>
      </c>
      <c r="K368" s="30" t="s">
        <v>29</v>
      </c>
      <c r="L368" s="30" t="s">
        <v>194</v>
      </c>
      <c r="M368" s="30" t="s">
        <v>195</v>
      </c>
      <c r="N368" s="30" t="s">
        <v>667</v>
      </c>
      <c r="O368" s="30">
        <v>73511.820000000007</v>
      </c>
      <c r="P368" s="30">
        <v>9.3667999999999996</v>
      </c>
      <c r="Q368" s="30" t="s">
        <v>168</v>
      </c>
      <c r="R368" s="30" t="s">
        <v>169</v>
      </c>
      <c r="S368" s="30"/>
      <c r="T368" s="30"/>
      <c r="U368" s="30"/>
      <c r="V368" s="30" t="s">
        <v>172</v>
      </c>
      <c r="W368" s="30" t="s">
        <v>282</v>
      </c>
      <c r="X368" s="30" t="s">
        <v>228</v>
      </c>
      <c r="Y368" s="30" t="s">
        <v>886</v>
      </c>
      <c r="Z368" s="30">
        <v>12</v>
      </c>
      <c r="AA368" s="30" t="s">
        <v>575</v>
      </c>
      <c r="AB368" s="30">
        <v>11</v>
      </c>
      <c r="AC368" s="30" t="s">
        <v>177</v>
      </c>
      <c r="AD368" s="30" t="s">
        <v>178</v>
      </c>
      <c r="AE368" s="30" t="s">
        <v>8</v>
      </c>
      <c r="AF368" s="30" t="s">
        <v>28</v>
      </c>
      <c r="AG368" s="30" t="s">
        <v>29</v>
      </c>
      <c r="AH368" s="30" t="s">
        <v>6</v>
      </c>
      <c r="AI368" s="30"/>
    </row>
    <row r="369" spans="1:35" x14ac:dyDescent="0.3">
      <c r="A369" s="30">
        <v>187</v>
      </c>
      <c r="B369" s="30" t="s">
        <v>569</v>
      </c>
      <c r="C369" s="30" t="s">
        <v>570</v>
      </c>
      <c r="D369" s="31">
        <v>46112</v>
      </c>
      <c r="E369" s="30">
        <v>528</v>
      </c>
      <c r="F369" s="30">
        <v>0</v>
      </c>
      <c r="G369" s="32">
        <v>115220202</v>
      </c>
      <c r="H369" s="30">
        <v>38021432038</v>
      </c>
      <c r="I369" s="30" t="s">
        <v>890</v>
      </c>
      <c r="J369" s="30" t="s">
        <v>703</v>
      </c>
      <c r="K369" s="30" t="s">
        <v>704</v>
      </c>
      <c r="L369" s="30" t="s">
        <v>194</v>
      </c>
      <c r="M369" s="30" t="s">
        <v>195</v>
      </c>
      <c r="N369" s="30" t="s">
        <v>167</v>
      </c>
      <c r="O369" s="30">
        <v>115220202</v>
      </c>
      <c r="P369" s="30">
        <v>1</v>
      </c>
      <c r="Q369" s="30" t="s">
        <v>168</v>
      </c>
      <c r="R369" s="30" t="s">
        <v>169</v>
      </c>
      <c r="S369" s="30"/>
      <c r="T369" s="30"/>
      <c r="U369" s="30"/>
      <c r="V369" s="30" t="s">
        <v>172</v>
      </c>
      <c r="W369" s="30" t="s">
        <v>282</v>
      </c>
      <c r="X369" s="30" t="s">
        <v>228</v>
      </c>
      <c r="Y369" s="30" t="s">
        <v>891</v>
      </c>
      <c r="Z369" s="30">
        <v>5</v>
      </c>
      <c r="AA369" s="30" t="s">
        <v>575</v>
      </c>
      <c r="AB369" s="30">
        <v>11</v>
      </c>
      <c r="AC369" s="30" t="s">
        <v>177</v>
      </c>
      <c r="AD369" s="30" t="s">
        <v>178</v>
      </c>
      <c r="AE369" s="30" t="s">
        <v>8</v>
      </c>
      <c r="AF369" s="30" t="s">
        <v>45</v>
      </c>
      <c r="AG369" s="30" t="s">
        <v>51</v>
      </c>
      <c r="AH369" s="30" t="s">
        <v>6</v>
      </c>
      <c r="AI369" s="30" t="s">
        <v>52</v>
      </c>
    </row>
    <row r="370" spans="1:35" x14ac:dyDescent="0.3">
      <c r="A370" s="30">
        <v>188</v>
      </c>
      <c r="B370" s="30" t="s">
        <v>569</v>
      </c>
      <c r="C370" s="30" t="s">
        <v>570</v>
      </c>
      <c r="D370" s="31">
        <v>46112</v>
      </c>
      <c r="E370" s="30">
        <v>528</v>
      </c>
      <c r="F370" s="30">
        <v>0</v>
      </c>
      <c r="G370" s="32">
        <v>71885570</v>
      </c>
      <c r="H370" s="30">
        <v>38093317608</v>
      </c>
      <c r="I370" s="30" t="s">
        <v>892</v>
      </c>
      <c r="J370" s="30" t="s">
        <v>703</v>
      </c>
      <c r="K370" s="30" t="s">
        <v>704</v>
      </c>
      <c r="L370" s="30" t="s">
        <v>194</v>
      </c>
      <c r="M370" s="30" t="s">
        <v>195</v>
      </c>
      <c r="N370" s="30" t="s">
        <v>397</v>
      </c>
      <c r="O370" s="30">
        <v>48354.39</v>
      </c>
      <c r="P370" s="30">
        <v>1486.64</v>
      </c>
      <c r="Q370" s="30" t="s">
        <v>168</v>
      </c>
      <c r="R370" s="30" t="s">
        <v>169</v>
      </c>
      <c r="S370" s="30"/>
      <c r="T370" s="30"/>
      <c r="U370" s="30"/>
      <c r="V370" s="30" t="s">
        <v>172</v>
      </c>
      <c r="W370" s="30" t="s">
        <v>282</v>
      </c>
      <c r="X370" s="30" t="s">
        <v>228</v>
      </c>
      <c r="Y370" s="30" t="s">
        <v>891</v>
      </c>
      <c r="Z370" s="30">
        <v>6</v>
      </c>
      <c r="AA370" s="30" t="s">
        <v>575</v>
      </c>
      <c r="AB370" s="30">
        <v>11</v>
      </c>
      <c r="AC370" s="30" t="s">
        <v>177</v>
      </c>
      <c r="AD370" s="30" t="s">
        <v>178</v>
      </c>
      <c r="AE370" s="30" t="s">
        <v>8</v>
      </c>
      <c r="AF370" s="30" t="s">
        <v>45</v>
      </c>
      <c r="AG370" s="30" t="s">
        <v>51</v>
      </c>
      <c r="AH370" s="30" t="s">
        <v>6</v>
      </c>
      <c r="AI370" s="30" t="s">
        <v>52</v>
      </c>
    </row>
    <row r="371" spans="1:35" x14ac:dyDescent="0.3">
      <c r="A371" s="30">
        <v>189</v>
      </c>
      <c r="B371" s="30" t="s">
        <v>569</v>
      </c>
      <c r="C371" s="30" t="s">
        <v>570</v>
      </c>
      <c r="D371" s="31">
        <v>46112</v>
      </c>
      <c r="E371" s="30">
        <v>420</v>
      </c>
      <c r="F371" s="30">
        <v>0</v>
      </c>
      <c r="G371" s="32">
        <v>97066819</v>
      </c>
      <c r="H371" s="30">
        <v>38190384427</v>
      </c>
      <c r="I371" s="30" t="s">
        <v>893</v>
      </c>
      <c r="J371" s="30" t="s">
        <v>587</v>
      </c>
      <c r="K371" s="30" t="s">
        <v>588</v>
      </c>
      <c r="L371" s="30" t="s">
        <v>194</v>
      </c>
      <c r="M371" s="30" t="s">
        <v>195</v>
      </c>
      <c r="N371" s="30" t="s">
        <v>167</v>
      </c>
      <c r="O371" s="30">
        <v>97066819</v>
      </c>
      <c r="P371" s="30">
        <v>1</v>
      </c>
      <c r="Q371" s="30" t="s">
        <v>168</v>
      </c>
      <c r="R371" s="30" t="s">
        <v>169</v>
      </c>
      <c r="S371" s="30"/>
      <c r="T371" s="30"/>
      <c r="U371" s="30"/>
      <c r="V371" s="30" t="s">
        <v>172</v>
      </c>
      <c r="W371" s="30" t="s">
        <v>282</v>
      </c>
      <c r="X371" s="30" t="s">
        <v>589</v>
      </c>
      <c r="Y371" s="30" t="s">
        <v>894</v>
      </c>
      <c r="Z371" s="30">
        <v>87</v>
      </c>
      <c r="AA371" s="30" t="s">
        <v>575</v>
      </c>
      <c r="AB371" s="30">
        <v>11</v>
      </c>
      <c r="AC371" s="30" t="s">
        <v>177</v>
      </c>
      <c r="AD371" s="30" t="s">
        <v>178</v>
      </c>
      <c r="AE371" s="30" t="s">
        <v>8</v>
      </c>
      <c r="AF371" s="30" t="s">
        <v>38</v>
      </c>
      <c r="AG371" s="30" t="s">
        <v>14</v>
      </c>
      <c r="AH371" s="30" t="s">
        <v>6</v>
      </c>
      <c r="AI371" s="30"/>
    </row>
    <row r="372" spans="1:35" x14ac:dyDescent="0.3">
      <c r="A372" s="30">
        <v>190</v>
      </c>
      <c r="B372" s="30" t="s">
        <v>569</v>
      </c>
      <c r="C372" s="30" t="s">
        <v>570</v>
      </c>
      <c r="D372" s="31">
        <v>46112</v>
      </c>
      <c r="E372" s="30">
        <v>420</v>
      </c>
      <c r="F372" s="30">
        <v>0</v>
      </c>
      <c r="G372" s="32">
        <v>522094546</v>
      </c>
      <c r="H372" s="30">
        <v>38712478973</v>
      </c>
      <c r="I372" s="30" t="s">
        <v>895</v>
      </c>
      <c r="J372" s="30" t="s">
        <v>587</v>
      </c>
      <c r="K372" s="30" t="s">
        <v>588</v>
      </c>
      <c r="L372" s="30" t="s">
        <v>194</v>
      </c>
      <c r="M372" s="30" t="s">
        <v>195</v>
      </c>
      <c r="N372" s="30" t="s">
        <v>167</v>
      </c>
      <c r="O372" s="30">
        <v>522094546</v>
      </c>
      <c r="P372" s="30">
        <v>1</v>
      </c>
      <c r="Q372" s="30" t="s">
        <v>168</v>
      </c>
      <c r="R372" s="30" t="s">
        <v>169</v>
      </c>
      <c r="S372" s="30"/>
      <c r="T372" s="30"/>
      <c r="U372" s="30"/>
      <c r="V372" s="30" t="s">
        <v>172</v>
      </c>
      <c r="W372" s="30" t="s">
        <v>282</v>
      </c>
      <c r="X372" s="30" t="s">
        <v>589</v>
      </c>
      <c r="Y372" s="30" t="s">
        <v>894</v>
      </c>
      <c r="Z372" s="30">
        <v>88</v>
      </c>
      <c r="AA372" s="30" t="s">
        <v>575</v>
      </c>
      <c r="AB372" s="30">
        <v>11</v>
      </c>
      <c r="AC372" s="30" t="s">
        <v>177</v>
      </c>
      <c r="AD372" s="30" t="s">
        <v>178</v>
      </c>
      <c r="AE372" s="30" t="s">
        <v>8</v>
      </c>
      <c r="AF372" s="30" t="s">
        <v>38</v>
      </c>
      <c r="AG372" s="30" t="s">
        <v>14</v>
      </c>
      <c r="AH372" s="30" t="s">
        <v>6</v>
      </c>
      <c r="AI372" s="30"/>
    </row>
    <row r="373" spans="1:35" x14ac:dyDescent="0.3">
      <c r="A373" s="30">
        <v>191</v>
      </c>
      <c r="B373" s="30" t="s">
        <v>569</v>
      </c>
      <c r="C373" s="30" t="s">
        <v>570</v>
      </c>
      <c r="D373" s="31">
        <v>46112</v>
      </c>
      <c r="E373" s="30">
        <v>420</v>
      </c>
      <c r="F373" s="30">
        <v>0</v>
      </c>
      <c r="G373" s="32">
        <v>129868182</v>
      </c>
      <c r="H373" s="30">
        <v>38842347155</v>
      </c>
      <c r="I373" s="30" t="s">
        <v>896</v>
      </c>
      <c r="J373" s="30" t="s">
        <v>587</v>
      </c>
      <c r="K373" s="30" t="s">
        <v>588</v>
      </c>
      <c r="L373" s="30" t="s">
        <v>194</v>
      </c>
      <c r="M373" s="30" t="s">
        <v>195</v>
      </c>
      <c r="N373" s="30" t="s">
        <v>167</v>
      </c>
      <c r="O373" s="30">
        <v>129868182</v>
      </c>
      <c r="P373" s="30">
        <v>1</v>
      </c>
      <c r="Q373" s="30" t="s">
        <v>168</v>
      </c>
      <c r="R373" s="30" t="s">
        <v>169</v>
      </c>
      <c r="S373" s="30"/>
      <c r="T373" s="30"/>
      <c r="U373" s="30"/>
      <c r="V373" s="30" t="s">
        <v>172</v>
      </c>
      <c r="W373" s="30" t="s">
        <v>282</v>
      </c>
      <c r="X373" s="30" t="s">
        <v>589</v>
      </c>
      <c r="Y373" s="30" t="s">
        <v>894</v>
      </c>
      <c r="Z373" s="30">
        <v>89</v>
      </c>
      <c r="AA373" s="30" t="s">
        <v>575</v>
      </c>
      <c r="AB373" s="30">
        <v>11</v>
      </c>
      <c r="AC373" s="30" t="s">
        <v>177</v>
      </c>
      <c r="AD373" s="30" t="s">
        <v>178</v>
      </c>
      <c r="AE373" s="30" t="s">
        <v>8</v>
      </c>
      <c r="AF373" s="30" t="s">
        <v>38</v>
      </c>
      <c r="AG373" s="30" t="s">
        <v>14</v>
      </c>
      <c r="AH373" s="30" t="s">
        <v>6</v>
      </c>
      <c r="AI373" s="30"/>
    </row>
    <row r="374" spans="1:35" x14ac:dyDescent="0.3">
      <c r="A374" s="30">
        <v>192</v>
      </c>
      <c r="B374" s="30" t="s">
        <v>569</v>
      </c>
      <c r="C374" s="30" t="s">
        <v>570</v>
      </c>
      <c r="D374" s="31">
        <v>46112</v>
      </c>
      <c r="E374" s="30">
        <v>420</v>
      </c>
      <c r="F374" s="30">
        <v>0</v>
      </c>
      <c r="G374" s="32">
        <v>541364</v>
      </c>
      <c r="H374" s="30">
        <v>38842888519</v>
      </c>
      <c r="I374" s="30" t="s">
        <v>897</v>
      </c>
      <c r="J374" s="30" t="s">
        <v>587</v>
      </c>
      <c r="K374" s="30" t="s">
        <v>588</v>
      </c>
      <c r="L374" s="30" t="s">
        <v>194</v>
      </c>
      <c r="M374" s="30" t="s">
        <v>195</v>
      </c>
      <c r="N374" s="30" t="s">
        <v>167</v>
      </c>
      <c r="O374" s="30">
        <v>541364</v>
      </c>
      <c r="P374" s="30">
        <v>1</v>
      </c>
      <c r="Q374" s="30" t="s">
        <v>168</v>
      </c>
      <c r="R374" s="30" t="s">
        <v>169</v>
      </c>
      <c r="S374" s="30"/>
      <c r="T374" s="30"/>
      <c r="U374" s="30"/>
      <c r="V374" s="30" t="s">
        <v>172</v>
      </c>
      <c r="W374" s="30" t="s">
        <v>282</v>
      </c>
      <c r="X374" s="30" t="s">
        <v>589</v>
      </c>
      <c r="Y374" s="30" t="s">
        <v>894</v>
      </c>
      <c r="Z374" s="30">
        <v>90</v>
      </c>
      <c r="AA374" s="30" t="s">
        <v>575</v>
      </c>
      <c r="AB374" s="30">
        <v>11</v>
      </c>
      <c r="AC374" s="30" t="s">
        <v>177</v>
      </c>
      <c r="AD374" s="30" t="s">
        <v>178</v>
      </c>
      <c r="AE374" s="30" t="s">
        <v>8</v>
      </c>
      <c r="AF374" s="30" t="s">
        <v>38</v>
      </c>
      <c r="AG374" s="30" t="s">
        <v>14</v>
      </c>
      <c r="AH374" s="30" t="s">
        <v>6</v>
      </c>
      <c r="AI374" s="30"/>
    </row>
    <row r="375" spans="1:35" x14ac:dyDescent="0.3">
      <c r="A375" s="30">
        <v>193</v>
      </c>
      <c r="B375" s="30" t="s">
        <v>569</v>
      </c>
      <c r="C375" s="30" t="s">
        <v>570</v>
      </c>
      <c r="D375" s="31">
        <v>46112</v>
      </c>
      <c r="E375" s="30">
        <v>420</v>
      </c>
      <c r="F375" s="30">
        <v>0</v>
      </c>
      <c r="G375" s="32">
        <v>18028182</v>
      </c>
      <c r="H375" s="30">
        <v>38860916701</v>
      </c>
      <c r="I375" s="30" t="s">
        <v>898</v>
      </c>
      <c r="J375" s="30" t="s">
        <v>587</v>
      </c>
      <c r="K375" s="30" t="s">
        <v>588</v>
      </c>
      <c r="L375" s="30" t="s">
        <v>194</v>
      </c>
      <c r="M375" s="30" t="s">
        <v>195</v>
      </c>
      <c r="N375" s="30" t="s">
        <v>167</v>
      </c>
      <c r="O375" s="30">
        <v>18028182</v>
      </c>
      <c r="P375" s="30">
        <v>1</v>
      </c>
      <c r="Q375" s="30" t="s">
        <v>168</v>
      </c>
      <c r="R375" s="30" t="s">
        <v>169</v>
      </c>
      <c r="S375" s="30"/>
      <c r="T375" s="30"/>
      <c r="U375" s="30"/>
      <c r="V375" s="30" t="s">
        <v>172</v>
      </c>
      <c r="W375" s="30" t="s">
        <v>282</v>
      </c>
      <c r="X375" s="30" t="s">
        <v>589</v>
      </c>
      <c r="Y375" s="30" t="s">
        <v>894</v>
      </c>
      <c r="Z375" s="30">
        <v>91</v>
      </c>
      <c r="AA375" s="30" t="s">
        <v>575</v>
      </c>
      <c r="AB375" s="30">
        <v>11</v>
      </c>
      <c r="AC375" s="30" t="s">
        <v>177</v>
      </c>
      <c r="AD375" s="30" t="s">
        <v>178</v>
      </c>
      <c r="AE375" s="30" t="s">
        <v>8</v>
      </c>
      <c r="AF375" s="30" t="s">
        <v>38</v>
      </c>
      <c r="AG375" s="30" t="s">
        <v>14</v>
      </c>
      <c r="AH375" s="30" t="s">
        <v>6</v>
      </c>
      <c r="AI375" s="30"/>
    </row>
    <row r="376" spans="1:35" x14ac:dyDescent="0.3">
      <c r="A376" s="30">
        <v>194</v>
      </c>
      <c r="B376" s="30" t="s">
        <v>569</v>
      </c>
      <c r="C376" s="30" t="s">
        <v>570</v>
      </c>
      <c r="D376" s="31">
        <v>46112</v>
      </c>
      <c r="E376" s="30">
        <v>420</v>
      </c>
      <c r="F376" s="30">
        <v>0</v>
      </c>
      <c r="G376" s="32">
        <v>4180000</v>
      </c>
      <c r="H376" s="30">
        <v>38865096701</v>
      </c>
      <c r="I376" s="30" t="s">
        <v>899</v>
      </c>
      <c r="J376" s="30" t="s">
        <v>587</v>
      </c>
      <c r="K376" s="30" t="s">
        <v>588</v>
      </c>
      <c r="L376" s="30" t="s">
        <v>194</v>
      </c>
      <c r="M376" s="30" t="s">
        <v>195</v>
      </c>
      <c r="N376" s="30" t="s">
        <v>167</v>
      </c>
      <c r="O376" s="30">
        <v>4180000</v>
      </c>
      <c r="P376" s="30">
        <v>1</v>
      </c>
      <c r="Q376" s="30" t="s">
        <v>168</v>
      </c>
      <c r="R376" s="30" t="s">
        <v>169</v>
      </c>
      <c r="S376" s="30"/>
      <c r="T376" s="30"/>
      <c r="U376" s="30"/>
      <c r="V376" s="30" t="s">
        <v>172</v>
      </c>
      <c r="W376" s="30" t="s">
        <v>282</v>
      </c>
      <c r="X376" s="30" t="s">
        <v>589</v>
      </c>
      <c r="Y376" s="30" t="s">
        <v>894</v>
      </c>
      <c r="Z376" s="30">
        <v>92</v>
      </c>
      <c r="AA376" s="30" t="s">
        <v>575</v>
      </c>
      <c r="AB376" s="30">
        <v>11</v>
      </c>
      <c r="AC376" s="30" t="s">
        <v>177</v>
      </c>
      <c r="AD376" s="30" t="s">
        <v>178</v>
      </c>
      <c r="AE376" s="30" t="s">
        <v>8</v>
      </c>
      <c r="AF376" s="30" t="s">
        <v>38</v>
      </c>
      <c r="AG376" s="30" t="s">
        <v>14</v>
      </c>
      <c r="AH376" s="30" t="s">
        <v>6</v>
      </c>
      <c r="AI376" s="30"/>
    </row>
    <row r="377" spans="1:35" x14ac:dyDescent="0.3">
      <c r="A377" s="30">
        <v>195</v>
      </c>
      <c r="B377" s="30" t="s">
        <v>569</v>
      </c>
      <c r="C377" s="30" t="s">
        <v>570</v>
      </c>
      <c r="D377" s="31">
        <v>46112</v>
      </c>
      <c r="E377" s="30">
        <v>420</v>
      </c>
      <c r="F377" s="30">
        <v>0</v>
      </c>
      <c r="G377" s="32">
        <v>2200000</v>
      </c>
      <c r="H377" s="30">
        <v>38867296701</v>
      </c>
      <c r="I377" s="30" t="s">
        <v>900</v>
      </c>
      <c r="J377" s="30" t="s">
        <v>587</v>
      </c>
      <c r="K377" s="30" t="s">
        <v>588</v>
      </c>
      <c r="L377" s="30" t="s">
        <v>194</v>
      </c>
      <c r="M377" s="30" t="s">
        <v>195</v>
      </c>
      <c r="N377" s="30" t="s">
        <v>167</v>
      </c>
      <c r="O377" s="30">
        <v>2200000</v>
      </c>
      <c r="P377" s="30">
        <v>1</v>
      </c>
      <c r="Q377" s="30" t="s">
        <v>168</v>
      </c>
      <c r="R377" s="30" t="s">
        <v>169</v>
      </c>
      <c r="S377" s="30"/>
      <c r="T377" s="30"/>
      <c r="U377" s="30"/>
      <c r="V377" s="30" t="s">
        <v>172</v>
      </c>
      <c r="W377" s="30" t="s">
        <v>282</v>
      </c>
      <c r="X377" s="30" t="s">
        <v>589</v>
      </c>
      <c r="Y377" s="30" t="s">
        <v>894</v>
      </c>
      <c r="Z377" s="30">
        <v>93</v>
      </c>
      <c r="AA377" s="30" t="s">
        <v>575</v>
      </c>
      <c r="AB377" s="30">
        <v>11</v>
      </c>
      <c r="AC377" s="30" t="s">
        <v>177</v>
      </c>
      <c r="AD377" s="30" t="s">
        <v>178</v>
      </c>
      <c r="AE377" s="30" t="s">
        <v>8</v>
      </c>
      <c r="AF377" s="30" t="s">
        <v>38</v>
      </c>
      <c r="AG377" s="30" t="s">
        <v>14</v>
      </c>
      <c r="AH377" s="30" t="s">
        <v>6</v>
      </c>
      <c r="AI377" s="30"/>
    </row>
    <row r="378" spans="1:35" x14ac:dyDescent="0.3">
      <c r="A378" s="30">
        <v>196</v>
      </c>
      <c r="B378" s="30" t="s">
        <v>569</v>
      </c>
      <c r="C378" s="30" t="s">
        <v>570</v>
      </c>
      <c r="D378" s="31">
        <v>46112</v>
      </c>
      <c r="E378" s="30">
        <v>420</v>
      </c>
      <c r="F378" s="30">
        <v>0</v>
      </c>
      <c r="G378" s="32">
        <v>-665455</v>
      </c>
      <c r="H378" s="30">
        <v>38866631246</v>
      </c>
      <c r="I378" s="30" t="s">
        <v>901</v>
      </c>
      <c r="J378" s="30" t="s">
        <v>587</v>
      </c>
      <c r="K378" s="30" t="s">
        <v>588</v>
      </c>
      <c r="L378" s="30" t="s">
        <v>194</v>
      </c>
      <c r="M378" s="30" t="s">
        <v>195</v>
      </c>
      <c r="N378" s="30" t="s">
        <v>167</v>
      </c>
      <c r="O378" s="30">
        <v>-665455</v>
      </c>
      <c r="P378" s="30">
        <v>1</v>
      </c>
      <c r="Q378" s="30" t="s">
        <v>168</v>
      </c>
      <c r="R378" s="30" t="s">
        <v>169</v>
      </c>
      <c r="S378" s="30"/>
      <c r="T378" s="30"/>
      <c r="U378" s="30"/>
      <c r="V378" s="30" t="s">
        <v>172</v>
      </c>
      <c r="W378" s="30" t="s">
        <v>282</v>
      </c>
      <c r="X378" s="30" t="s">
        <v>589</v>
      </c>
      <c r="Y378" s="30" t="s">
        <v>894</v>
      </c>
      <c r="Z378" s="30">
        <v>94</v>
      </c>
      <c r="AA378" s="30" t="s">
        <v>575</v>
      </c>
      <c r="AB378" s="30">
        <v>11</v>
      </c>
      <c r="AC378" s="30" t="s">
        <v>177</v>
      </c>
      <c r="AD378" s="30" t="s">
        <v>178</v>
      </c>
      <c r="AE378" s="30" t="s">
        <v>8</v>
      </c>
      <c r="AF378" s="30" t="s">
        <v>38</v>
      </c>
      <c r="AG378" s="30" t="s">
        <v>14</v>
      </c>
      <c r="AH378" s="30" t="s">
        <v>6</v>
      </c>
      <c r="AI378" s="30"/>
    </row>
    <row r="379" spans="1:35" x14ac:dyDescent="0.3">
      <c r="A379" s="30">
        <v>197</v>
      </c>
      <c r="B379" s="30" t="s">
        <v>569</v>
      </c>
      <c r="C379" s="30" t="s">
        <v>570</v>
      </c>
      <c r="D379" s="31">
        <v>46112</v>
      </c>
      <c r="E379" s="30">
        <v>420</v>
      </c>
      <c r="F379" s="30">
        <v>0</v>
      </c>
      <c r="G379" s="32">
        <v>4446000</v>
      </c>
      <c r="H379" s="30">
        <v>38871077246</v>
      </c>
      <c r="I379" s="30" t="s">
        <v>902</v>
      </c>
      <c r="J379" s="30" t="s">
        <v>587</v>
      </c>
      <c r="K379" s="30" t="s">
        <v>588</v>
      </c>
      <c r="L379" s="30" t="s">
        <v>194</v>
      </c>
      <c r="M379" s="30" t="s">
        <v>195</v>
      </c>
      <c r="N379" s="30" t="s">
        <v>167</v>
      </c>
      <c r="O379" s="30">
        <v>4446000</v>
      </c>
      <c r="P379" s="30">
        <v>1</v>
      </c>
      <c r="Q379" s="30" t="s">
        <v>168</v>
      </c>
      <c r="R379" s="30" t="s">
        <v>169</v>
      </c>
      <c r="S379" s="30"/>
      <c r="T379" s="30"/>
      <c r="U379" s="30"/>
      <c r="V379" s="30" t="s">
        <v>172</v>
      </c>
      <c r="W379" s="30" t="s">
        <v>282</v>
      </c>
      <c r="X379" s="30" t="s">
        <v>589</v>
      </c>
      <c r="Y379" s="30" t="s">
        <v>894</v>
      </c>
      <c r="Z379" s="30">
        <v>95</v>
      </c>
      <c r="AA379" s="30" t="s">
        <v>575</v>
      </c>
      <c r="AB379" s="30">
        <v>11</v>
      </c>
      <c r="AC379" s="30" t="s">
        <v>177</v>
      </c>
      <c r="AD379" s="30" t="s">
        <v>178</v>
      </c>
      <c r="AE379" s="30" t="s">
        <v>8</v>
      </c>
      <c r="AF379" s="30" t="s">
        <v>38</v>
      </c>
      <c r="AG379" s="30" t="s">
        <v>14</v>
      </c>
      <c r="AH379" s="30" t="s">
        <v>6</v>
      </c>
      <c r="AI379" s="30"/>
    </row>
    <row r="380" spans="1:35" x14ac:dyDescent="0.3">
      <c r="A380" s="30">
        <v>198</v>
      </c>
      <c r="B380" s="30" t="s">
        <v>569</v>
      </c>
      <c r="C380" s="30" t="s">
        <v>570</v>
      </c>
      <c r="D380" s="31">
        <v>46112</v>
      </c>
      <c r="E380" s="30">
        <v>420</v>
      </c>
      <c r="F380" s="30">
        <v>0</v>
      </c>
      <c r="G380" s="32">
        <v>6110000</v>
      </c>
      <c r="H380" s="30">
        <v>38877187246</v>
      </c>
      <c r="I380" s="30" t="s">
        <v>903</v>
      </c>
      <c r="J380" s="30" t="s">
        <v>587</v>
      </c>
      <c r="K380" s="30" t="s">
        <v>588</v>
      </c>
      <c r="L380" s="30" t="s">
        <v>194</v>
      </c>
      <c r="M380" s="30" t="s">
        <v>195</v>
      </c>
      <c r="N380" s="30" t="s">
        <v>167</v>
      </c>
      <c r="O380" s="30">
        <v>6110000</v>
      </c>
      <c r="P380" s="30">
        <v>1</v>
      </c>
      <c r="Q380" s="30" t="s">
        <v>168</v>
      </c>
      <c r="R380" s="30" t="s">
        <v>169</v>
      </c>
      <c r="S380" s="30"/>
      <c r="T380" s="30"/>
      <c r="U380" s="30"/>
      <c r="V380" s="30" t="s">
        <v>172</v>
      </c>
      <c r="W380" s="30" t="s">
        <v>282</v>
      </c>
      <c r="X380" s="30" t="s">
        <v>589</v>
      </c>
      <c r="Y380" s="30" t="s">
        <v>894</v>
      </c>
      <c r="Z380" s="30">
        <v>96</v>
      </c>
      <c r="AA380" s="30" t="s">
        <v>575</v>
      </c>
      <c r="AB380" s="30">
        <v>11</v>
      </c>
      <c r="AC380" s="30" t="s">
        <v>177</v>
      </c>
      <c r="AD380" s="30" t="s">
        <v>178</v>
      </c>
      <c r="AE380" s="30" t="s">
        <v>8</v>
      </c>
      <c r="AF380" s="30" t="s">
        <v>38</v>
      </c>
      <c r="AG380" s="30" t="s">
        <v>14</v>
      </c>
      <c r="AH380" s="30" t="s">
        <v>6</v>
      </c>
      <c r="AI380" s="30"/>
    </row>
    <row r="381" spans="1:35" x14ac:dyDescent="0.3">
      <c r="A381" s="30">
        <v>199</v>
      </c>
      <c r="B381" s="30" t="s">
        <v>569</v>
      </c>
      <c r="C381" s="30" t="s">
        <v>570</v>
      </c>
      <c r="D381" s="31">
        <v>46112</v>
      </c>
      <c r="E381" s="30">
        <v>420</v>
      </c>
      <c r="F381" s="30">
        <v>0</v>
      </c>
      <c r="G381" s="32">
        <v>4040000</v>
      </c>
      <c r="H381" s="30">
        <v>38881227246</v>
      </c>
      <c r="I381" s="30" t="s">
        <v>904</v>
      </c>
      <c r="J381" s="30" t="s">
        <v>587</v>
      </c>
      <c r="K381" s="30" t="s">
        <v>588</v>
      </c>
      <c r="L381" s="30" t="s">
        <v>194</v>
      </c>
      <c r="M381" s="30" t="s">
        <v>195</v>
      </c>
      <c r="N381" s="30" t="s">
        <v>167</v>
      </c>
      <c r="O381" s="30">
        <v>4040000</v>
      </c>
      <c r="P381" s="30">
        <v>1</v>
      </c>
      <c r="Q381" s="30" t="s">
        <v>168</v>
      </c>
      <c r="R381" s="30" t="s">
        <v>169</v>
      </c>
      <c r="S381" s="30"/>
      <c r="T381" s="30"/>
      <c r="U381" s="30"/>
      <c r="V381" s="30" t="s">
        <v>172</v>
      </c>
      <c r="W381" s="30" t="s">
        <v>282</v>
      </c>
      <c r="X381" s="30" t="s">
        <v>589</v>
      </c>
      <c r="Y381" s="30" t="s">
        <v>894</v>
      </c>
      <c r="Z381" s="30">
        <v>97</v>
      </c>
      <c r="AA381" s="30" t="s">
        <v>575</v>
      </c>
      <c r="AB381" s="30">
        <v>11</v>
      </c>
      <c r="AC381" s="30" t="s">
        <v>177</v>
      </c>
      <c r="AD381" s="30" t="s">
        <v>178</v>
      </c>
      <c r="AE381" s="30" t="s">
        <v>8</v>
      </c>
      <c r="AF381" s="30" t="s">
        <v>38</v>
      </c>
      <c r="AG381" s="30" t="s">
        <v>14</v>
      </c>
      <c r="AH381" s="30" t="s">
        <v>6</v>
      </c>
      <c r="AI381" s="30"/>
    </row>
    <row r="382" spans="1:35" x14ac:dyDescent="0.3">
      <c r="A382" s="30">
        <v>200</v>
      </c>
      <c r="B382" s="30" t="s">
        <v>569</v>
      </c>
      <c r="C382" s="30" t="s">
        <v>570</v>
      </c>
      <c r="D382" s="31">
        <v>46112</v>
      </c>
      <c r="E382" s="30">
        <v>420</v>
      </c>
      <c r="F382" s="30">
        <v>0</v>
      </c>
      <c r="G382" s="32">
        <v>82732364</v>
      </c>
      <c r="H382" s="30">
        <v>38963959610</v>
      </c>
      <c r="I382" s="30" t="s">
        <v>905</v>
      </c>
      <c r="J382" s="30" t="s">
        <v>587</v>
      </c>
      <c r="K382" s="30" t="s">
        <v>588</v>
      </c>
      <c r="L382" s="30" t="s">
        <v>194</v>
      </c>
      <c r="M382" s="30" t="s">
        <v>195</v>
      </c>
      <c r="N382" s="30" t="s">
        <v>167</v>
      </c>
      <c r="O382" s="30">
        <v>82732364</v>
      </c>
      <c r="P382" s="30">
        <v>1</v>
      </c>
      <c r="Q382" s="30" t="s">
        <v>168</v>
      </c>
      <c r="R382" s="30" t="s">
        <v>169</v>
      </c>
      <c r="S382" s="30"/>
      <c r="T382" s="30"/>
      <c r="U382" s="30"/>
      <c r="V382" s="30" t="s">
        <v>172</v>
      </c>
      <c r="W382" s="30" t="s">
        <v>282</v>
      </c>
      <c r="X382" s="30" t="s">
        <v>589</v>
      </c>
      <c r="Y382" s="30" t="s">
        <v>894</v>
      </c>
      <c r="Z382" s="30">
        <v>98</v>
      </c>
      <c r="AA382" s="30" t="s">
        <v>575</v>
      </c>
      <c r="AB382" s="30">
        <v>11</v>
      </c>
      <c r="AC382" s="30" t="s">
        <v>177</v>
      </c>
      <c r="AD382" s="30" t="s">
        <v>178</v>
      </c>
      <c r="AE382" s="30" t="s">
        <v>8</v>
      </c>
      <c r="AF382" s="30" t="s">
        <v>38</v>
      </c>
      <c r="AG382" s="30" t="s">
        <v>14</v>
      </c>
      <c r="AH382" s="30" t="s">
        <v>6</v>
      </c>
      <c r="AI382" s="30"/>
    </row>
    <row r="383" spans="1:35" x14ac:dyDescent="0.3">
      <c r="A383" s="30">
        <v>201</v>
      </c>
      <c r="B383" s="30" t="s">
        <v>569</v>
      </c>
      <c r="C383" s="30" t="s">
        <v>570</v>
      </c>
      <c r="D383" s="31">
        <v>46112</v>
      </c>
      <c r="E383" s="30">
        <v>420</v>
      </c>
      <c r="F383" s="30">
        <v>0</v>
      </c>
      <c r="G383" s="32">
        <v>71246819</v>
      </c>
      <c r="H383" s="30">
        <v>39035206429</v>
      </c>
      <c r="I383" s="30" t="s">
        <v>906</v>
      </c>
      <c r="J383" s="30" t="s">
        <v>587</v>
      </c>
      <c r="K383" s="30" t="s">
        <v>588</v>
      </c>
      <c r="L383" s="30" t="s">
        <v>194</v>
      </c>
      <c r="M383" s="30" t="s">
        <v>195</v>
      </c>
      <c r="N383" s="30" t="s">
        <v>167</v>
      </c>
      <c r="O383" s="30">
        <v>71246819</v>
      </c>
      <c r="P383" s="30">
        <v>1</v>
      </c>
      <c r="Q383" s="30" t="s">
        <v>168</v>
      </c>
      <c r="R383" s="30" t="s">
        <v>169</v>
      </c>
      <c r="S383" s="30"/>
      <c r="T383" s="30"/>
      <c r="U383" s="30"/>
      <c r="V383" s="30" t="s">
        <v>172</v>
      </c>
      <c r="W383" s="30" t="s">
        <v>282</v>
      </c>
      <c r="X383" s="30" t="s">
        <v>589</v>
      </c>
      <c r="Y383" s="30" t="s">
        <v>894</v>
      </c>
      <c r="Z383" s="30">
        <v>99</v>
      </c>
      <c r="AA383" s="30" t="s">
        <v>575</v>
      </c>
      <c r="AB383" s="30">
        <v>11</v>
      </c>
      <c r="AC383" s="30" t="s">
        <v>177</v>
      </c>
      <c r="AD383" s="30" t="s">
        <v>178</v>
      </c>
      <c r="AE383" s="30" t="s">
        <v>8</v>
      </c>
      <c r="AF383" s="30" t="s">
        <v>38</v>
      </c>
      <c r="AG383" s="30" t="s">
        <v>14</v>
      </c>
      <c r="AH383" s="30" t="s">
        <v>6</v>
      </c>
      <c r="AI383" s="30"/>
    </row>
    <row r="384" spans="1:35" x14ac:dyDescent="0.3">
      <c r="A384" s="30">
        <v>202</v>
      </c>
      <c r="B384" s="30" t="s">
        <v>569</v>
      </c>
      <c r="C384" s="30" t="s">
        <v>570</v>
      </c>
      <c r="D384" s="31">
        <v>46112</v>
      </c>
      <c r="E384" s="30">
        <v>403</v>
      </c>
      <c r="F384" s="30">
        <v>0</v>
      </c>
      <c r="G384" s="32">
        <v>56728</v>
      </c>
      <c r="H384" s="30">
        <v>39035263157</v>
      </c>
      <c r="I384" s="30" t="s">
        <v>907</v>
      </c>
      <c r="J384" s="30" t="s">
        <v>602</v>
      </c>
      <c r="K384" s="30" t="s">
        <v>603</v>
      </c>
      <c r="L384" s="30" t="s">
        <v>194</v>
      </c>
      <c r="M384" s="30" t="s">
        <v>195</v>
      </c>
      <c r="N384" s="30" t="s">
        <v>167</v>
      </c>
      <c r="O384" s="30">
        <v>56728</v>
      </c>
      <c r="P384" s="30">
        <v>1</v>
      </c>
      <c r="Q384" s="30" t="s">
        <v>168</v>
      </c>
      <c r="R384" s="30" t="s">
        <v>169</v>
      </c>
      <c r="S384" s="30"/>
      <c r="T384" s="30"/>
      <c r="U384" s="30"/>
      <c r="V384" s="30" t="s">
        <v>172</v>
      </c>
      <c r="W384" s="30" t="s">
        <v>282</v>
      </c>
      <c r="X384" s="30" t="s">
        <v>589</v>
      </c>
      <c r="Y384" s="30" t="s">
        <v>908</v>
      </c>
      <c r="Z384" s="30">
        <v>5</v>
      </c>
      <c r="AA384" s="30" t="s">
        <v>197</v>
      </c>
      <c r="AB384" s="30">
        <v>11</v>
      </c>
      <c r="AC384" s="30" t="s">
        <v>177</v>
      </c>
      <c r="AD384" s="30" t="s">
        <v>178</v>
      </c>
      <c r="AE384" s="30" t="s">
        <v>8</v>
      </c>
      <c r="AF384" s="30" t="s">
        <v>28</v>
      </c>
      <c r="AG384" s="30" t="s">
        <v>33</v>
      </c>
      <c r="AH384" s="30" t="s">
        <v>6</v>
      </c>
      <c r="AI384" s="30"/>
    </row>
    <row r="385" spans="1:35" x14ac:dyDescent="0.3">
      <c r="A385" s="30">
        <v>203</v>
      </c>
      <c r="B385" s="30" t="s">
        <v>569</v>
      </c>
      <c r="C385" s="30" t="s">
        <v>570</v>
      </c>
      <c r="D385" s="31">
        <v>46112</v>
      </c>
      <c r="E385" s="30">
        <v>498</v>
      </c>
      <c r="F385" s="30">
        <v>0</v>
      </c>
      <c r="G385" s="32">
        <v>112311727</v>
      </c>
      <c r="H385" s="30">
        <v>39147574884</v>
      </c>
      <c r="I385" s="30" t="s">
        <v>909</v>
      </c>
      <c r="J385" s="30" t="s">
        <v>606</v>
      </c>
      <c r="K385" s="30" t="s">
        <v>607</v>
      </c>
      <c r="L385" s="30" t="s">
        <v>194</v>
      </c>
      <c r="M385" s="30" t="s">
        <v>195</v>
      </c>
      <c r="N385" s="30" t="s">
        <v>167</v>
      </c>
      <c r="O385" s="30">
        <v>112311727</v>
      </c>
      <c r="P385" s="30">
        <v>1</v>
      </c>
      <c r="Q385" s="30" t="s">
        <v>168</v>
      </c>
      <c r="R385" s="30" t="s">
        <v>169</v>
      </c>
      <c r="S385" s="30"/>
      <c r="T385" s="30"/>
      <c r="U385" s="30"/>
      <c r="V385" s="30" t="s">
        <v>172</v>
      </c>
      <c r="W385" s="30" t="s">
        <v>282</v>
      </c>
      <c r="X385" s="30" t="s">
        <v>589</v>
      </c>
      <c r="Y385" s="30" t="s">
        <v>910</v>
      </c>
      <c r="Z385" s="30">
        <v>7</v>
      </c>
      <c r="AA385" s="30" t="s">
        <v>575</v>
      </c>
      <c r="AB385" s="30">
        <v>11</v>
      </c>
      <c r="AC385" s="30" t="s">
        <v>177</v>
      </c>
      <c r="AD385" s="30" t="s">
        <v>178</v>
      </c>
      <c r="AE385" s="30" t="s">
        <v>8</v>
      </c>
      <c r="AF385" s="30" t="s">
        <v>38</v>
      </c>
      <c r="AG385" s="30" t="s">
        <v>44</v>
      </c>
      <c r="AH385" s="30" t="s">
        <v>6</v>
      </c>
      <c r="AI385" s="30"/>
    </row>
    <row r="386" spans="1:35" x14ac:dyDescent="0.3">
      <c r="A386" s="30">
        <v>204</v>
      </c>
      <c r="B386" s="30" t="s">
        <v>569</v>
      </c>
      <c r="C386" s="30" t="s">
        <v>570</v>
      </c>
      <c r="D386" s="31">
        <v>46112</v>
      </c>
      <c r="E386" s="30">
        <v>499</v>
      </c>
      <c r="F386" s="30">
        <v>0</v>
      </c>
      <c r="G386" s="32">
        <v>30358182</v>
      </c>
      <c r="H386" s="30">
        <v>39177933066</v>
      </c>
      <c r="I386" s="30" t="s">
        <v>911</v>
      </c>
      <c r="J386" s="30" t="s">
        <v>610</v>
      </c>
      <c r="K386" s="30" t="s">
        <v>611</v>
      </c>
      <c r="L386" s="30" t="s">
        <v>194</v>
      </c>
      <c r="M386" s="30" t="s">
        <v>195</v>
      </c>
      <c r="N386" s="30" t="s">
        <v>167</v>
      </c>
      <c r="O386" s="30">
        <v>30358182</v>
      </c>
      <c r="P386" s="30">
        <v>1</v>
      </c>
      <c r="Q386" s="30" t="s">
        <v>612</v>
      </c>
      <c r="R386" s="30" t="s">
        <v>613</v>
      </c>
      <c r="S386" s="30"/>
      <c r="T386" s="30"/>
      <c r="U386" s="30"/>
      <c r="V386" s="30" t="s">
        <v>172</v>
      </c>
      <c r="W386" s="30" t="s">
        <v>282</v>
      </c>
      <c r="X386" s="30" t="s">
        <v>589</v>
      </c>
      <c r="Y386" s="30" t="s">
        <v>912</v>
      </c>
      <c r="Z386" s="30">
        <v>4</v>
      </c>
      <c r="AA386" s="30" t="s">
        <v>575</v>
      </c>
      <c r="AB386" s="30">
        <v>11</v>
      </c>
      <c r="AC386" s="30" t="s">
        <v>177</v>
      </c>
      <c r="AD386" s="30" t="s">
        <v>178</v>
      </c>
      <c r="AE386" s="30" t="s">
        <v>8</v>
      </c>
      <c r="AF386" s="30" t="s">
        <v>38</v>
      </c>
      <c r="AG386" s="30" t="s">
        <v>43</v>
      </c>
      <c r="AH386" s="30" t="s">
        <v>6</v>
      </c>
      <c r="AI386" s="30"/>
    </row>
    <row r="387" spans="1:35" x14ac:dyDescent="0.3">
      <c r="A387" s="30">
        <v>205</v>
      </c>
      <c r="B387" s="30" t="s">
        <v>569</v>
      </c>
      <c r="C387" s="30" t="s">
        <v>570</v>
      </c>
      <c r="D387" s="31">
        <v>46112</v>
      </c>
      <c r="E387" s="30">
        <v>499</v>
      </c>
      <c r="F387" s="30">
        <v>0</v>
      </c>
      <c r="G387" s="32">
        <v>105476000</v>
      </c>
      <c r="H387" s="30">
        <v>39283409066</v>
      </c>
      <c r="I387" s="30" t="s">
        <v>913</v>
      </c>
      <c r="J387" s="30" t="s">
        <v>610</v>
      </c>
      <c r="K387" s="30" t="s">
        <v>611</v>
      </c>
      <c r="L387" s="30" t="s">
        <v>194</v>
      </c>
      <c r="M387" s="30" t="s">
        <v>195</v>
      </c>
      <c r="N387" s="30" t="s">
        <v>167</v>
      </c>
      <c r="O387" s="30">
        <v>105476000</v>
      </c>
      <c r="P387" s="30">
        <v>1</v>
      </c>
      <c r="Q387" s="30" t="s">
        <v>616</v>
      </c>
      <c r="R387" s="30" t="s">
        <v>617</v>
      </c>
      <c r="S387" s="30"/>
      <c r="T387" s="30"/>
      <c r="U387" s="30"/>
      <c r="V387" s="30" t="s">
        <v>172</v>
      </c>
      <c r="W387" s="30" t="s">
        <v>282</v>
      </c>
      <c r="X387" s="30" t="s">
        <v>589</v>
      </c>
      <c r="Y387" s="30" t="s">
        <v>912</v>
      </c>
      <c r="Z387" s="30">
        <v>10</v>
      </c>
      <c r="AA387" s="30" t="s">
        <v>575</v>
      </c>
      <c r="AB387" s="30">
        <v>11</v>
      </c>
      <c r="AC387" s="30" t="s">
        <v>177</v>
      </c>
      <c r="AD387" s="30" t="s">
        <v>178</v>
      </c>
      <c r="AE387" s="30" t="s">
        <v>8</v>
      </c>
      <c r="AF387" s="30" t="s">
        <v>38</v>
      </c>
      <c r="AG387" s="30" t="s">
        <v>43</v>
      </c>
      <c r="AH387" s="30" t="s">
        <v>6</v>
      </c>
      <c r="AI387" s="30"/>
    </row>
    <row r="388" spans="1:35" x14ac:dyDescent="0.3">
      <c r="A388" s="30">
        <v>206</v>
      </c>
      <c r="B388" s="30" t="s">
        <v>569</v>
      </c>
      <c r="C388" s="30" t="s">
        <v>570</v>
      </c>
      <c r="D388" s="31">
        <v>46112</v>
      </c>
      <c r="E388" s="30">
        <v>499</v>
      </c>
      <c r="F388" s="30">
        <v>0</v>
      </c>
      <c r="G388" s="32">
        <v>658706546</v>
      </c>
      <c r="H388" s="30">
        <v>39942115612</v>
      </c>
      <c r="I388" s="30" t="s">
        <v>914</v>
      </c>
      <c r="J388" s="30" t="s">
        <v>610</v>
      </c>
      <c r="K388" s="30" t="s">
        <v>611</v>
      </c>
      <c r="L388" s="30" t="s">
        <v>194</v>
      </c>
      <c r="M388" s="30" t="s">
        <v>195</v>
      </c>
      <c r="N388" s="30" t="s">
        <v>167</v>
      </c>
      <c r="O388" s="30">
        <v>658706546</v>
      </c>
      <c r="P388" s="30">
        <v>1</v>
      </c>
      <c r="Q388" s="30" t="s">
        <v>619</v>
      </c>
      <c r="R388" s="30" t="s">
        <v>620</v>
      </c>
      <c r="S388" s="30"/>
      <c r="T388" s="30"/>
      <c r="U388" s="30"/>
      <c r="V388" s="30" t="s">
        <v>172</v>
      </c>
      <c r="W388" s="30" t="s">
        <v>282</v>
      </c>
      <c r="X388" s="30" t="s">
        <v>589</v>
      </c>
      <c r="Y388" s="30" t="s">
        <v>912</v>
      </c>
      <c r="Z388" s="30">
        <v>16</v>
      </c>
      <c r="AA388" s="30" t="s">
        <v>575</v>
      </c>
      <c r="AB388" s="30">
        <v>11</v>
      </c>
      <c r="AC388" s="30" t="s">
        <v>177</v>
      </c>
      <c r="AD388" s="30" t="s">
        <v>178</v>
      </c>
      <c r="AE388" s="30" t="s">
        <v>8</v>
      </c>
      <c r="AF388" s="30" t="s">
        <v>38</v>
      </c>
      <c r="AG388" s="30" t="s">
        <v>43</v>
      </c>
      <c r="AH388" s="30" t="s">
        <v>6</v>
      </c>
      <c r="AI388" s="30"/>
    </row>
    <row r="389" spans="1:35" x14ac:dyDescent="0.3">
      <c r="A389" s="30">
        <v>207</v>
      </c>
      <c r="B389" s="30" t="s">
        <v>569</v>
      </c>
      <c r="C389" s="30" t="s">
        <v>570</v>
      </c>
      <c r="D389" s="31">
        <v>46112</v>
      </c>
      <c r="E389" s="30">
        <v>499</v>
      </c>
      <c r="F389" s="30">
        <v>0</v>
      </c>
      <c r="G389" s="32">
        <v>415910</v>
      </c>
      <c r="H389" s="30">
        <v>39942531522</v>
      </c>
      <c r="I389" s="30" t="s">
        <v>915</v>
      </c>
      <c r="J389" s="30" t="s">
        <v>610</v>
      </c>
      <c r="K389" s="30" t="s">
        <v>611</v>
      </c>
      <c r="L389" s="30" t="s">
        <v>194</v>
      </c>
      <c r="M389" s="30" t="s">
        <v>195</v>
      </c>
      <c r="N389" s="30" t="s">
        <v>167</v>
      </c>
      <c r="O389" s="30">
        <v>415910</v>
      </c>
      <c r="P389" s="30">
        <v>1</v>
      </c>
      <c r="Q389" s="30" t="s">
        <v>622</v>
      </c>
      <c r="R389" s="30" t="s">
        <v>623</v>
      </c>
      <c r="S389" s="30"/>
      <c r="T389" s="30"/>
      <c r="U389" s="30"/>
      <c r="V389" s="30" t="s">
        <v>172</v>
      </c>
      <c r="W389" s="30" t="s">
        <v>282</v>
      </c>
      <c r="X389" s="30" t="s">
        <v>589</v>
      </c>
      <c r="Y389" s="30" t="s">
        <v>912</v>
      </c>
      <c r="Z389" s="30">
        <v>22</v>
      </c>
      <c r="AA389" s="30" t="s">
        <v>575</v>
      </c>
      <c r="AB389" s="30">
        <v>11</v>
      </c>
      <c r="AC389" s="30" t="s">
        <v>177</v>
      </c>
      <c r="AD389" s="30" t="s">
        <v>178</v>
      </c>
      <c r="AE389" s="30" t="s">
        <v>8</v>
      </c>
      <c r="AF389" s="30" t="s">
        <v>38</v>
      </c>
      <c r="AG389" s="30" t="s">
        <v>43</v>
      </c>
      <c r="AH389" s="30" t="s">
        <v>6</v>
      </c>
      <c r="AI389" s="30"/>
    </row>
    <row r="390" spans="1:35" x14ac:dyDescent="0.3">
      <c r="A390" s="30">
        <v>208</v>
      </c>
      <c r="B390" s="30" t="s">
        <v>569</v>
      </c>
      <c r="C390" s="30" t="s">
        <v>570</v>
      </c>
      <c r="D390" s="31">
        <v>46112</v>
      </c>
      <c r="E390" s="30">
        <v>507</v>
      </c>
      <c r="F390" s="30">
        <v>0</v>
      </c>
      <c r="G390" s="32">
        <v>30460311</v>
      </c>
      <c r="H390" s="30">
        <v>39972991833</v>
      </c>
      <c r="I390" s="30" t="s">
        <v>916</v>
      </c>
      <c r="J390" s="30" t="s">
        <v>625</v>
      </c>
      <c r="K390" s="30" t="s">
        <v>626</v>
      </c>
      <c r="L390" s="30" t="s">
        <v>194</v>
      </c>
      <c r="M390" s="30" t="s">
        <v>195</v>
      </c>
      <c r="N390" s="30" t="s">
        <v>397</v>
      </c>
      <c r="O390" s="30">
        <v>20489.37</v>
      </c>
      <c r="P390" s="30">
        <v>1486.64</v>
      </c>
      <c r="Q390" s="30" t="s">
        <v>168</v>
      </c>
      <c r="R390" s="30" t="s">
        <v>169</v>
      </c>
      <c r="S390" s="30"/>
      <c r="T390" s="30"/>
      <c r="U390" s="30"/>
      <c r="V390" s="30" t="s">
        <v>172</v>
      </c>
      <c r="W390" s="30" t="s">
        <v>282</v>
      </c>
      <c r="X390" s="30" t="s">
        <v>589</v>
      </c>
      <c r="Y390" s="30" t="s">
        <v>917</v>
      </c>
      <c r="Z390" s="30">
        <v>2</v>
      </c>
      <c r="AA390" s="30" t="s">
        <v>197</v>
      </c>
      <c r="AB390" s="30">
        <v>11</v>
      </c>
      <c r="AC390" s="30" t="s">
        <v>177</v>
      </c>
      <c r="AD390" s="30" t="s">
        <v>178</v>
      </c>
      <c r="AE390" s="30" t="s">
        <v>8</v>
      </c>
      <c r="AF390" s="30" t="s">
        <v>38</v>
      </c>
      <c r="AG390" s="30" t="s">
        <v>39</v>
      </c>
      <c r="AH390" s="30" t="s">
        <v>6</v>
      </c>
      <c r="AI390" s="30"/>
    </row>
    <row r="391" spans="1:35" x14ac:dyDescent="0.3">
      <c r="A391" s="30">
        <v>209</v>
      </c>
      <c r="B391" s="30" t="s">
        <v>569</v>
      </c>
      <c r="C391" s="30" t="s">
        <v>570</v>
      </c>
      <c r="D391" s="31">
        <v>46112</v>
      </c>
      <c r="E391" s="30">
        <v>507</v>
      </c>
      <c r="F391" s="30">
        <v>0</v>
      </c>
      <c r="G391" s="32">
        <v>54498</v>
      </c>
      <c r="H391" s="30">
        <v>39973046331</v>
      </c>
      <c r="I391" s="30" t="s">
        <v>918</v>
      </c>
      <c r="J391" s="30" t="s">
        <v>625</v>
      </c>
      <c r="K391" s="30" t="s">
        <v>626</v>
      </c>
      <c r="L391" s="30" t="s">
        <v>194</v>
      </c>
      <c r="M391" s="30" t="s">
        <v>195</v>
      </c>
      <c r="N391" s="30" t="s">
        <v>397</v>
      </c>
      <c r="O391" s="30">
        <v>36.659999999999997</v>
      </c>
      <c r="P391" s="30">
        <v>1486.64</v>
      </c>
      <c r="Q391" s="30" t="s">
        <v>168</v>
      </c>
      <c r="R391" s="30" t="s">
        <v>169</v>
      </c>
      <c r="S391" s="30"/>
      <c r="T391" s="30"/>
      <c r="U391" s="30"/>
      <c r="V391" s="30" t="s">
        <v>172</v>
      </c>
      <c r="W391" s="30" t="s">
        <v>282</v>
      </c>
      <c r="X391" s="30" t="s">
        <v>589</v>
      </c>
      <c r="Y391" s="30" t="s">
        <v>917</v>
      </c>
      <c r="Z391" s="30">
        <v>3</v>
      </c>
      <c r="AA391" s="30" t="s">
        <v>197</v>
      </c>
      <c r="AB391" s="30">
        <v>11</v>
      </c>
      <c r="AC391" s="30" t="s">
        <v>177</v>
      </c>
      <c r="AD391" s="30" t="s">
        <v>178</v>
      </c>
      <c r="AE391" s="30" t="s">
        <v>8</v>
      </c>
      <c r="AF391" s="30" t="s">
        <v>38</v>
      </c>
      <c r="AG391" s="30" t="s">
        <v>39</v>
      </c>
      <c r="AH391" s="30" t="s">
        <v>6</v>
      </c>
      <c r="AI391" s="30"/>
    </row>
    <row r="392" spans="1:35" x14ac:dyDescent="0.3">
      <c r="A392" s="30">
        <v>210</v>
      </c>
      <c r="B392" s="30" t="s">
        <v>569</v>
      </c>
      <c r="C392" s="30" t="s">
        <v>570</v>
      </c>
      <c r="D392" s="31">
        <v>46112</v>
      </c>
      <c r="E392" s="30">
        <v>508</v>
      </c>
      <c r="F392" s="30">
        <v>0</v>
      </c>
      <c r="G392" s="32">
        <v>26115132</v>
      </c>
      <c r="H392" s="30">
        <v>39999161463</v>
      </c>
      <c r="I392" s="30" t="s">
        <v>919</v>
      </c>
      <c r="J392" s="30" t="s">
        <v>630</v>
      </c>
      <c r="K392" s="30" t="s">
        <v>631</v>
      </c>
      <c r="L392" s="30" t="s">
        <v>194</v>
      </c>
      <c r="M392" s="30" t="s">
        <v>195</v>
      </c>
      <c r="N392" s="30" t="s">
        <v>634</v>
      </c>
      <c r="O392" s="30">
        <v>560050</v>
      </c>
      <c r="P392" s="30">
        <v>46.63</v>
      </c>
      <c r="Q392" s="30" t="s">
        <v>920</v>
      </c>
      <c r="R392" s="30" t="s">
        <v>921</v>
      </c>
      <c r="S392" s="30"/>
      <c r="T392" s="30"/>
      <c r="U392" s="30"/>
      <c r="V392" s="30" t="s">
        <v>172</v>
      </c>
      <c r="W392" s="30" t="s">
        <v>282</v>
      </c>
      <c r="X392" s="30" t="s">
        <v>589</v>
      </c>
      <c r="Y392" s="30" t="s">
        <v>922</v>
      </c>
      <c r="Z392" s="30">
        <v>2</v>
      </c>
      <c r="AA392" s="30" t="s">
        <v>197</v>
      </c>
      <c r="AB392" s="30">
        <v>11</v>
      </c>
      <c r="AC392" s="30" t="s">
        <v>177</v>
      </c>
      <c r="AD392" s="30" t="s">
        <v>178</v>
      </c>
      <c r="AE392" s="30" t="s">
        <v>8</v>
      </c>
      <c r="AF392" s="30" t="s">
        <v>38</v>
      </c>
      <c r="AG392" s="30" t="s">
        <v>40</v>
      </c>
      <c r="AH392" s="30" t="s">
        <v>6</v>
      </c>
      <c r="AI392" s="30" t="s">
        <v>41</v>
      </c>
    </row>
    <row r="393" spans="1:35" x14ac:dyDescent="0.3">
      <c r="A393" s="30">
        <v>211</v>
      </c>
      <c r="B393" s="30" t="s">
        <v>569</v>
      </c>
      <c r="C393" s="30" t="s">
        <v>570</v>
      </c>
      <c r="D393" s="31">
        <v>46112</v>
      </c>
      <c r="E393" s="30">
        <v>508</v>
      </c>
      <c r="F393" s="30">
        <v>0</v>
      </c>
      <c r="G393" s="32">
        <v>470220650</v>
      </c>
      <c r="H393" s="30">
        <v>40469382113</v>
      </c>
      <c r="I393" s="30" t="s">
        <v>923</v>
      </c>
      <c r="J393" s="30" t="s">
        <v>630</v>
      </c>
      <c r="K393" s="30" t="s">
        <v>631</v>
      </c>
      <c r="L393" s="30" t="s">
        <v>194</v>
      </c>
      <c r="M393" s="30" t="s">
        <v>195</v>
      </c>
      <c r="N393" s="30" t="s">
        <v>634</v>
      </c>
      <c r="O393" s="30">
        <v>10084080</v>
      </c>
      <c r="P393" s="30">
        <v>46.63</v>
      </c>
      <c r="Q393" s="30" t="s">
        <v>924</v>
      </c>
      <c r="R393" s="30" t="s">
        <v>925</v>
      </c>
      <c r="S393" s="30"/>
      <c r="T393" s="30"/>
      <c r="U393" s="30"/>
      <c r="V393" s="30" t="s">
        <v>172</v>
      </c>
      <c r="W393" s="30" t="s">
        <v>282</v>
      </c>
      <c r="X393" s="30" t="s">
        <v>589</v>
      </c>
      <c r="Y393" s="30" t="s">
        <v>922</v>
      </c>
      <c r="Z393" s="30">
        <v>7</v>
      </c>
      <c r="AA393" s="30" t="s">
        <v>197</v>
      </c>
      <c r="AB393" s="30">
        <v>11</v>
      </c>
      <c r="AC393" s="30" t="s">
        <v>177</v>
      </c>
      <c r="AD393" s="30" t="s">
        <v>178</v>
      </c>
      <c r="AE393" s="30" t="s">
        <v>8</v>
      </c>
      <c r="AF393" s="30" t="s">
        <v>38</v>
      </c>
      <c r="AG393" s="30" t="s">
        <v>40</v>
      </c>
      <c r="AH393" s="30" t="s">
        <v>6</v>
      </c>
      <c r="AI393" s="30" t="s">
        <v>41</v>
      </c>
    </row>
    <row r="394" spans="1:35" x14ac:dyDescent="0.3">
      <c r="A394" s="30">
        <v>212</v>
      </c>
      <c r="B394" s="30" t="s">
        <v>569</v>
      </c>
      <c r="C394" s="30" t="s">
        <v>570</v>
      </c>
      <c r="D394" s="31">
        <v>46112</v>
      </c>
      <c r="E394" s="30">
        <v>509</v>
      </c>
      <c r="F394" s="30">
        <v>0</v>
      </c>
      <c r="G394" s="32">
        <v>6210587</v>
      </c>
      <c r="H394" s="30">
        <v>40475592700</v>
      </c>
      <c r="I394" s="30" t="s">
        <v>926</v>
      </c>
      <c r="J394" s="30" t="s">
        <v>637</v>
      </c>
      <c r="K394" s="30" t="s">
        <v>638</v>
      </c>
      <c r="L394" s="30" t="s">
        <v>194</v>
      </c>
      <c r="M394" s="30" t="s">
        <v>195</v>
      </c>
      <c r="N394" s="30" t="s">
        <v>397</v>
      </c>
      <c r="O394" s="30">
        <v>4177.6000000000004</v>
      </c>
      <c r="P394" s="30">
        <v>1486.64</v>
      </c>
      <c r="Q394" s="30" t="s">
        <v>639</v>
      </c>
      <c r="R394" s="30" t="s">
        <v>640</v>
      </c>
      <c r="S394" s="30"/>
      <c r="T394" s="30"/>
      <c r="U394" s="30"/>
      <c r="V394" s="30" t="s">
        <v>172</v>
      </c>
      <c r="W394" s="30" t="s">
        <v>282</v>
      </c>
      <c r="X394" s="30" t="s">
        <v>589</v>
      </c>
      <c r="Y394" s="30" t="s">
        <v>927</v>
      </c>
      <c r="Z394" s="30">
        <v>2</v>
      </c>
      <c r="AA394" s="30" t="s">
        <v>197</v>
      </c>
      <c r="AB394" s="30">
        <v>11</v>
      </c>
      <c r="AC394" s="30" t="s">
        <v>177</v>
      </c>
      <c r="AD394" s="30" t="s">
        <v>178</v>
      </c>
      <c r="AE394" s="30" t="s">
        <v>8</v>
      </c>
      <c r="AF394" s="30" t="s">
        <v>28</v>
      </c>
      <c r="AG394" s="30" t="s">
        <v>31</v>
      </c>
      <c r="AH394" s="30" t="s">
        <v>6</v>
      </c>
      <c r="AI394" s="30"/>
    </row>
    <row r="395" spans="1:35" x14ac:dyDescent="0.3">
      <c r="A395" s="30">
        <v>213</v>
      </c>
      <c r="B395" s="30" t="s">
        <v>569</v>
      </c>
      <c r="C395" s="30" t="s">
        <v>570</v>
      </c>
      <c r="D395" s="31">
        <v>46112</v>
      </c>
      <c r="E395" s="30">
        <v>509</v>
      </c>
      <c r="F395" s="30">
        <v>0</v>
      </c>
      <c r="G395" s="32">
        <v>4215160</v>
      </c>
      <c r="H395" s="30">
        <v>40479807860</v>
      </c>
      <c r="I395" s="30" t="s">
        <v>928</v>
      </c>
      <c r="J395" s="30" t="s">
        <v>637</v>
      </c>
      <c r="K395" s="30" t="s">
        <v>638</v>
      </c>
      <c r="L395" s="30" t="s">
        <v>194</v>
      </c>
      <c r="M395" s="30" t="s">
        <v>195</v>
      </c>
      <c r="N395" s="30" t="s">
        <v>397</v>
      </c>
      <c r="O395" s="30">
        <v>2835.36</v>
      </c>
      <c r="P395" s="30">
        <v>1486.64</v>
      </c>
      <c r="Q395" s="30" t="s">
        <v>920</v>
      </c>
      <c r="R395" s="30" t="s">
        <v>921</v>
      </c>
      <c r="S395" s="30"/>
      <c r="T395" s="30"/>
      <c r="U395" s="30"/>
      <c r="V395" s="30" t="s">
        <v>172</v>
      </c>
      <c r="W395" s="30" t="s">
        <v>282</v>
      </c>
      <c r="X395" s="30" t="s">
        <v>589</v>
      </c>
      <c r="Y395" s="30" t="s">
        <v>927</v>
      </c>
      <c r="Z395" s="30">
        <v>11</v>
      </c>
      <c r="AA395" s="30" t="s">
        <v>197</v>
      </c>
      <c r="AB395" s="30">
        <v>11</v>
      </c>
      <c r="AC395" s="30" t="s">
        <v>177</v>
      </c>
      <c r="AD395" s="30" t="s">
        <v>178</v>
      </c>
      <c r="AE395" s="30" t="s">
        <v>8</v>
      </c>
      <c r="AF395" s="30" t="s">
        <v>28</v>
      </c>
      <c r="AG395" s="30" t="s">
        <v>31</v>
      </c>
      <c r="AH395" s="30" t="s">
        <v>6</v>
      </c>
      <c r="AI395" s="30"/>
    </row>
    <row r="396" spans="1:35" x14ac:dyDescent="0.3">
      <c r="A396" s="30">
        <v>214</v>
      </c>
      <c r="B396" s="30" t="s">
        <v>569</v>
      </c>
      <c r="C396" s="30" t="s">
        <v>570</v>
      </c>
      <c r="D396" s="31">
        <v>46112</v>
      </c>
      <c r="E396" s="30">
        <v>509</v>
      </c>
      <c r="F396" s="30">
        <v>0</v>
      </c>
      <c r="G396" s="32">
        <v>216622864</v>
      </c>
      <c r="H396" s="30">
        <v>40696430724</v>
      </c>
      <c r="I396" s="30" t="s">
        <v>929</v>
      </c>
      <c r="J396" s="30" t="s">
        <v>637</v>
      </c>
      <c r="K396" s="30" t="s">
        <v>638</v>
      </c>
      <c r="L396" s="30" t="s">
        <v>194</v>
      </c>
      <c r="M396" s="30" t="s">
        <v>195</v>
      </c>
      <c r="N396" s="30" t="s">
        <v>397</v>
      </c>
      <c r="O396" s="30">
        <v>145713.06</v>
      </c>
      <c r="P396" s="30">
        <v>1486.64</v>
      </c>
      <c r="Q396" s="30" t="s">
        <v>924</v>
      </c>
      <c r="R396" s="30" t="s">
        <v>925</v>
      </c>
      <c r="S396" s="30"/>
      <c r="T396" s="30"/>
      <c r="U396" s="30"/>
      <c r="V396" s="30" t="s">
        <v>172</v>
      </c>
      <c r="W396" s="30" t="s">
        <v>282</v>
      </c>
      <c r="X396" s="30" t="s">
        <v>589</v>
      </c>
      <c r="Y396" s="30" t="s">
        <v>927</v>
      </c>
      <c r="Z396" s="30">
        <v>20</v>
      </c>
      <c r="AA396" s="30" t="s">
        <v>197</v>
      </c>
      <c r="AB396" s="30">
        <v>11</v>
      </c>
      <c r="AC396" s="30" t="s">
        <v>177</v>
      </c>
      <c r="AD396" s="30" t="s">
        <v>178</v>
      </c>
      <c r="AE396" s="30" t="s">
        <v>8</v>
      </c>
      <c r="AF396" s="30" t="s">
        <v>28</v>
      </c>
      <c r="AG396" s="30" t="s">
        <v>31</v>
      </c>
      <c r="AH396" s="30" t="s">
        <v>6</v>
      </c>
      <c r="AI396" s="30"/>
    </row>
    <row r="397" spans="1:35" x14ac:dyDescent="0.3">
      <c r="A397" s="30">
        <v>215</v>
      </c>
      <c r="B397" s="30" t="s">
        <v>569</v>
      </c>
      <c r="C397" s="30" t="s">
        <v>570</v>
      </c>
      <c r="D397" s="31">
        <v>46112</v>
      </c>
      <c r="E397" s="30">
        <v>500</v>
      </c>
      <c r="F397" s="30">
        <v>0</v>
      </c>
      <c r="G397" s="32">
        <v>59</v>
      </c>
      <c r="H397" s="30">
        <v>40696430783</v>
      </c>
      <c r="I397" s="30" t="s">
        <v>930</v>
      </c>
      <c r="J397" s="30" t="s">
        <v>643</v>
      </c>
      <c r="K397" s="30" t="s">
        <v>46</v>
      </c>
      <c r="L397" s="30" t="s">
        <v>194</v>
      </c>
      <c r="M397" s="30" t="s">
        <v>195</v>
      </c>
      <c r="N397" s="30" t="s">
        <v>397</v>
      </c>
      <c r="O397" s="30">
        <v>0.04</v>
      </c>
      <c r="P397" s="30">
        <v>1486.64</v>
      </c>
      <c r="Q397" s="30" t="s">
        <v>168</v>
      </c>
      <c r="R397" s="30" t="s">
        <v>169</v>
      </c>
      <c r="S397" s="30"/>
      <c r="T397" s="30"/>
      <c r="U397" s="30"/>
      <c r="V397" s="30" t="s">
        <v>172</v>
      </c>
      <c r="W397" s="30" t="s">
        <v>282</v>
      </c>
      <c r="X397" s="30" t="s">
        <v>589</v>
      </c>
      <c r="Y397" s="30" t="s">
        <v>931</v>
      </c>
      <c r="Z397" s="30">
        <v>2</v>
      </c>
      <c r="AA397" s="30" t="s">
        <v>197</v>
      </c>
      <c r="AB397" s="30">
        <v>11</v>
      </c>
      <c r="AC397" s="30" t="s">
        <v>177</v>
      </c>
      <c r="AD397" s="30" t="s">
        <v>178</v>
      </c>
      <c r="AE397" s="30" t="s">
        <v>8</v>
      </c>
      <c r="AF397" s="30" t="s">
        <v>45</v>
      </c>
      <c r="AG397" s="30" t="s">
        <v>46</v>
      </c>
      <c r="AH397" s="30" t="s">
        <v>6</v>
      </c>
      <c r="AI397" s="30"/>
    </row>
    <row r="398" spans="1:35" x14ac:dyDescent="0.3">
      <c r="A398" s="30">
        <v>216</v>
      </c>
      <c r="B398" s="30" t="s">
        <v>569</v>
      </c>
      <c r="C398" s="30" t="s">
        <v>570</v>
      </c>
      <c r="D398" s="31">
        <v>46112</v>
      </c>
      <c r="E398" s="30">
        <v>408</v>
      </c>
      <c r="F398" s="30">
        <v>0</v>
      </c>
      <c r="G398" s="32">
        <v>20082886</v>
      </c>
      <c r="H398" s="30">
        <v>40716513669</v>
      </c>
      <c r="I398" s="30" t="s">
        <v>932</v>
      </c>
      <c r="J398" s="30" t="s">
        <v>661</v>
      </c>
      <c r="K398" s="30" t="s">
        <v>662</v>
      </c>
      <c r="L398" s="30" t="s">
        <v>194</v>
      </c>
      <c r="M398" s="30" t="s">
        <v>195</v>
      </c>
      <c r="N398" s="30" t="s">
        <v>397</v>
      </c>
      <c r="O398" s="30">
        <v>13508.91</v>
      </c>
      <c r="P398" s="30">
        <v>1486.64</v>
      </c>
      <c r="Q398" s="30" t="s">
        <v>168</v>
      </c>
      <c r="R398" s="30" t="s">
        <v>169</v>
      </c>
      <c r="S398" s="30"/>
      <c r="T398" s="30"/>
      <c r="U398" s="30"/>
      <c r="V398" s="30" t="s">
        <v>172</v>
      </c>
      <c r="W398" s="30" t="s">
        <v>282</v>
      </c>
      <c r="X398" s="30" t="s">
        <v>589</v>
      </c>
      <c r="Y398" s="30" t="s">
        <v>933</v>
      </c>
      <c r="Z398" s="30">
        <v>2</v>
      </c>
      <c r="AA398" s="30" t="s">
        <v>197</v>
      </c>
      <c r="AB398" s="30">
        <v>11</v>
      </c>
      <c r="AC398" s="30" t="s">
        <v>177</v>
      </c>
      <c r="AD398" s="30" t="s">
        <v>178</v>
      </c>
      <c r="AE398" s="30" t="s">
        <v>8</v>
      </c>
      <c r="AF398" s="30" t="s">
        <v>45</v>
      </c>
      <c r="AG398" s="30" t="s">
        <v>47</v>
      </c>
      <c r="AH398" s="30" t="s">
        <v>6</v>
      </c>
      <c r="AI398" s="30"/>
    </row>
    <row r="399" spans="1:35" x14ac:dyDescent="0.3">
      <c r="A399" s="30">
        <v>217</v>
      </c>
      <c r="B399" s="30" t="s">
        <v>569</v>
      </c>
      <c r="C399" s="30" t="s">
        <v>570</v>
      </c>
      <c r="D399" s="31">
        <v>46112</v>
      </c>
      <c r="E399" s="30">
        <v>501</v>
      </c>
      <c r="F399" s="30">
        <v>0</v>
      </c>
      <c r="G399" s="32">
        <v>93064277</v>
      </c>
      <c r="H399" s="30">
        <v>40809577946</v>
      </c>
      <c r="I399" s="30" t="s">
        <v>934</v>
      </c>
      <c r="J399" s="30" t="s">
        <v>646</v>
      </c>
      <c r="K399" s="30" t="s">
        <v>647</v>
      </c>
      <c r="L399" s="30" t="s">
        <v>194</v>
      </c>
      <c r="M399" s="30" t="s">
        <v>195</v>
      </c>
      <c r="N399" s="30" t="s">
        <v>167</v>
      </c>
      <c r="O399" s="30">
        <v>93064277</v>
      </c>
      <c r="P399" s="30">
        <v>1</v>
      </c>
      <c r="Q399" s="30" t="s">
        <v>168</v>
      </c>
      <c r="R399" s="30" t="s">
        <v>169</v>
      </c>
      <c r="S399" s="30"/>
      <c r="T399" s="30"/>
      <c r="U399" s="30"/>
      <c r="V399" s="30" t="s">
        <v>172</v>
      </c>
      <c r="W399" s="30" t="s">
        <v>282</v>
      </c>
      <c r="X399" s="30" t="s">
        <v>589</v>
      </c>
      <c r="Y399" s="30" t="s">
        <v>935</v>
      </c>
      <c r="Z399" s="30">
        <v>3</v>
      </c>
      <c r="AA399" s="30" t="s">
        <v>575</v>
      </c>
      <c r="AB399" s="30">
        <v>11</v>
      </c>
      <c r="AC399" s="30" t="s">
        <v>177</v>
      </c>
      <c r="AD399" s="30" t="s">
        <v>178</v>
      </c>
      <c r="AE399" s="30" t="s">
        <v>8</v>
      </c>
      <c r="AF399" s="30" t="s">
        <v>45</v>
      </c>
      <c r="AG399" s="30" t="s">
        <v>49</v>
      </c>
      <c r="AH399" s="30" t="s">
        <v>6</v>
      </c>
      <c r="AI399" s="30" t="s">
        <v>50</v>
      </c>
    </row>
    <row r="400" spans="1:35" x14ac:dyDescent="0.3">
      <c r="A400" s="30">
        <v>218</v>
      </c>
      <c r="B400" s="30" t="s">
        <v>569</v>
      </c>
      <c r="C400" s="30" t="s">
        <v>570</v>
      </c>
      <c r="D400" s="31">
        <v>46112</v>
      </c>
      <c r="E400" s="30">
        <v>502</v>
      </c>
      <c r="F400" s="30">
        <v>0</v>
      </c>
      <c r="G400" s="32">
        <v>1218</v>
      </c>
      <c r="H400" s="30">
        <v>40809579164</v>
      </c>
      <c r="I400" s="30" t="s">
        <v>936</v>
      </c>
      <c r="J400" s="30" t="s">
        <v>665</v>
      </c>
      <c r="K400" s="30" t="s">
        <v>666</v>
      </c>
      <c r="L400" s="30" t="s">
        <v>194</v>
      </c>
      <c r="M400" s="30" t="s">
        <v>195</v>
      </c>
      <c r="N400" s="30" t="s">
        <v>667</v>
      </c>
      <c r="O400" s="30">
        <v>130</v>
      </c>
      <c r="P400" s="30">
        <v>9.3667999999999996</v>
      </c>
      <c r="Q400" s="30" t="s">
        <v>168</v>
      </c>
      <c r="R400" s="30" t="s">
        <v>169</v>
      </c>
      <c r="S400" s="30"/>
      <c r="T400" s="30"/>
      <c r="U400" s="30"/>
      <c r="V400" s="30" t="s">
        <v>172</v>
      </c>
      <c r="W400" s="30" t="s">
        <v>282</v>
      </c>
      <c r="X400" s="30" t="s">
        <v>589</v>
      </c>
      <c r="Y400" s="30" t="s">
        <v>937</v>
      </c>
      <c r="Z400" s="30">
        <v>3</v>
      </c>
      <c r="AA400" s="30" t="s">
        <v>197</v>
      </c>
      <c r="AB400" s="30">
        <v>11</v>
      </c>
      <c r="AC400" s="30" t="s">
        <v>177</v>
      </c>
      <c r="AD400" s="30" t="s">
        <v>178</v>
      </c>
      <c r="AE400" s="30" t="s">
        <v>8</v>
      </c>
      <c r="AF400" s="30" t="s">
        <v>45</v>
      </c>
      <c r="AG400" s="30" t="s">
        <v>48</v>
      </c>
      <c r="AH400" s="30" t="s">
        <v>6</v>
      </c>
      <c r="AI400" s="30"/>
    </row>
    <row r="401" spans="1:35" x14ac:dyDescent="0.3">
      <c r="A401" s="30">
        <v>219</v>
      </c>
      <c r="B401" s="30" t="s">
        <v>569</v>
      </c>
      <c r="C401" s="30" t="s">
        <v>570</v>
      </c>
      <c r="D401" s="31">
        <v>46112</v>
      </c>
      <c r="E401" s="30">
        <v>366</v>
      </c>
      <c r="F401" s="30">
        <v>0</v>
      </c>
      <c r="G401" s="32">
        <v>459763</v>
      </c>
      <c r="H401" s="30">
        <v>40810038927</v>
      </c>
      <c r="I401" s="30" t="s">
        <v>938</v>
      </c>
      <c r="J401" s="30" t="s">
        <v>299</v>
      </c>
      <c r="K401" s="30" t="s">
        <v>300</v>
      </c>
      <c r="L401" s="30" t="s">
        <v>211</v>
      </c>
      <c r="M401" s="30" t="s">
        <v>212</v>
      </c>
      <c r="N401" s="30" t="s">
        <v>167</v>
      </c>
      <c r="O401" s="30">
        <v>459763</v>
      </c>
      <c r="P401" s="30">
        <v>1</v>
      </c>
      <c r="Q401" s="30" t="s">
        <v>583</v>
      </c>
      <c r="R401" s="30" t="s">
        <v>584</v>
      </c>
      <c r="S401" s="30" t="s">
        <v>170</v>
      </c>
      <c r="T401" s="30" t="s">
        <v>171</v>
      </c>
      <c r="U401" s="30" t="s">
        <v>570</v>
      </c>
      <c r="V401" s="30" t="s">
        <v>172</v>
      </c>
      <c r="W401" s="30" t="s">
        <v>282</v>
      </c>
      <c r="X401" s="30" t="s">
        <v>228</v>
      </c>
      <c r="Y401" s="30" t="s">
        <v>939</v>
      </c>
      <c r="Z401" s="30">
        <v>1</v>
      </c>
      <c r="AA401" s="30" t="s">
        <v>176</v>
      </c>
      <c r="AB401" s="30">
        <v>11</v>
      </c>
      <c r="AC401" s="30" t="s">
        <v>177</v>
      </c>
      <c r="AD401" s="30" t="s">
        <v>178</v>
      </c>
      <c r="AE401" s="30" t="s">
        <v>8</v>
      </c>
      <c r="AF401" s="30" t="s">
        <v>28</v>
      </c>
      <c r="AG401" s="30" t="s">
        <v>32</v>
      </c>
      <c r="AH401" s="30" t="s">
        <v>6</v>
      </c>
      <c r="AI401" s="30"/>
    </row>
    <row r="402" spans="1:35" x14ac:dyDescent="0.3">
      <c r="A402" s="30">
        <v>220</v>
      </c>
      <c r="B402" s="30" t="s">
        <v>569</v>
      </c>
      <c r="C402" s="30" t="s">
        <v>570</v>
      </c>
      <c r="D402" s="31">
        <v>46112</v>
      </c>
      <c r="E402" s="30">
        <v>368</v>
      </c>
      <c r="F402" s="30">
        <v>0</v>
      </c>
      <c r="G402" s="32">
        <v>19862221</v>
      </c>
      <c r="H402" s="30">
        <v>40829901148</v>
      </c>
      <c r="I402" s="30" t="s">
        <v>940</v>
      </c>
      <c r="J402" s="30" t="s">
        <v>163</v>
      </c>
      <c r="K402" s="30" t="s">
        <v>164</v>
      </c>
      <c r="L402" s="30" t="s">
        <v>211</v>
      </c>
      <c r="M402" s="30" t="s">
        <v>212</v>
      </c>
      <c r="N402" s="30" t="s">
        <v>167</v>
      </c>
      <c r="O402" s="30">
        <v>19862221</v>
      </c>
      <c r="P402" s="30">
        <v>1</v>
      </c>
      <c r="Q402" s="30" t="s">
        <v>650</v>
      </c>
      <c r="R402" s="30" t="s">
        <v>651</v>
      </c>
      <c r="S402" s="30" t="s">
        <v>170</v>
      </c>
      <c r="T402" s="30" t="s">
        <v>171</v>
      </c>
      <c r="U402" s="30" t="s">
        <v>570</v>
      </c>
      <c r="V402" s="30" t="s">
        <v>172</v>
      </c>
      <c r="W402" s="30" t="s">
        <v>282</v>
      </c>
      <c r="X402" s="30" t="s">
        <v>228</v>
      </c>
      <c r="Y402" s="30" t="s">
        <v>941</v>
      </c>
      <c r="Z402" s="30">
        <v>1</v>
      </c>
      <c r="AA402" s="30" t="s">
        <v>176</v>
      </c>
      <c r="AB402" s="30">
        <v>11</v>
      </c>
      <c r="AC402" s="30" t="s">
        <v>177</v>
      </c>
      <c r="AD402" s="30" t="s">
        <v>178</v>
      </c>
      <c r="AE402" s="30" t="s">
        <v>8</v>
      </c>
      <c r="AF402" s="30" t="s">
        <v>28</v>
      </c>
      <c r="AG402" s="30" t="s">
        <v>37</v>
      </c>
      <c r="AH402" s="30" t="s">
        <v>6</v>
      </c>
      <c r="AI402" s="30"/>
    </row>
    <row r="403" spans="1:35" x14ac:dyDescent="0.3">
      <c r="A403" s="30">
        <v>221</v>
      </c>
      <c r="B403" s="30" t="s">
        <v>569</v>
      </c>
      <c r="C403" s="30" t="s">
        <v>570</v>
      </c>
      <c r="D403" s="31">
        <v>46112</v>
      </c>
      <c r="E403" s="30">
        <v>1342</v>
      </c>
      <c r="F403" s="30">
        <v>0</v>
      </c>
      <c r="G403" s="32">
        <v>10448365</v>
      </c>
      <c r="H403" s="30">
        <v>40840349513</v>
      </c>
      <c r="I403" s="30" t="s">
        <v>942</v>
      </c>
      <c r="J403" s="30" t="s">
        <v>708</v>
      </c>
      <c r="K403" s="30" t="s">
        <v>42</v>
      </c>
      <c r="L403" s="30" t="s">
        <v>670</v>
      </c>
      <c r="M403" s="30" t="s">
        <v>671</v>
      </c>
      <c r="N403" s="30" t="s">
        <v>397</v>
      </c>
      <c r="O403" s="30">
        <v>7028.17</v>
      </c>
      <c r="P403" s="30">
        <v>1486.64</v>
      </c>
      <c r="Q403" s="30" t="s">
        <v>716</v>
      </c>
      <c r="R403" s="30" t="s">
        <v>717</v>
      </c>
      <c r="S403" s="30"/>
      <c r="T403" s="30"/>
      <c r="U403" s="30"/>
      <c r="V403" s="30" t="s">
        <v>172</v>
      </c>
      <c r="W403" s="30" t="s">
        <v>282</v>
      </c>
      <c r="X403" s="30" t="s">
        <v>589</v>
      </c>
      <c r="Y403" s="30" t="s">
        <v>943</v>
      </c>
      <c r="Z403" s="30">
        <v>1</v>
      </c>
      <c r="AA403" s="30" t="s">
        <v>197</v>
      </c>
      <c r="AB403" s="30">
        <v>11</v>
      </c>
      <c r="AC403" s="30" t="s">
        <v>177</v>
      </c>
      <c r="AD403" s="30" t="s">
        <v>178</v>
      </c>
      <c r="AE403" s="30" t="s">
        <v>8</v>
      </c>
      <c r="AF403" s="30" t="s">
        <v>38</v>
      </c>
      <c r="AG403" s="30" t="s">
        <v>42</v>
      </c>
      <c r="AH403" s="30" t="s">
        <v>6</v>
      </c>
      <c r="AI403" s="30"/>
    </row>
    <row r="404" spans="1:35" x14ac:dyDescent="0.3">
      <c r="A404" s="30">
        <v>222</v>
      </c>
      <c r="B404" s="30" t="s">
        <v>569</v>
      </c>
      <c r="C404" s="30" t="s">
        <v>570</v>
      </c>
      <c r="D404" s="31">
        <v>46112</v>
      </c>
      <c r="E404" s="30">
        <v>1342</v>
      </c>
      <c r="F404" s="30">
        <v>0</v>
      </c>
      <c r="G404" s="32">
        <v>662555</v>
      </c>
      <c r="H404" s="30">
        <v>40841012068</v>
      </c>
      <c r="I404" s="30" t="s">
        <v>944</v>
      </c>
      <c r="J404" s="30" t="s">
        <v>708</v>
      </c>
      <c r="K404" s="30" t="s">
        <v>42</v>
      </c>
      <c r="L404" s="30" t="s">
        <v>194</v>
      </c>
      <c r="M404" s="30" t="s">
        <v>195</v>
      </c>
      <c r="N404" s="30" t="s">
        <v>397</v>
      </c>
      <c r="O404" s="30">
        <v>445.67</v>
      </c>
      <c r="P404" s="30">
        <v>1486.64</v>
      </c>
      <c r="Q404" s="30" t="s">
        <v>827</v>
      </c>
      <c r="R404" s="30" t="s">
        <v>828</v>
      </c>
      <c r="S404" s="30"/>
      <c r="T404" s="30"/>
      <c r="U404" s="30"/>
      <c r="V404" s="30" t="s">
        <v>172</v>
      </c>
      <c r="W404" s="30" t="s">
        <v>282</v>
      </c>
      <c r="X404" s="30" t="s">
        <v>589</v>
      </c>
      <c r="Y404" s="30" t="s">
        <v>943</v>
      </c>
      <c r="Z404" s="30">
        <v>7</v>
      </c>
      <c r="AA404" s="30" t="s">
        <v>197</v>
      </c>
      <c r="AB404" s="30">
        <v>11</v>
      </c>
      <c r="AC404" s="30" t="s">
        <v>177</v>
      </c>
      <c r="AD404" s="30" t="s">
        <v>178</v>
      </c>
      <c r="AE404" s="30" t="s">
        <v>8</v>
      </c>
      <c r="AF404" s="30" t="s">
        <v>38</v>
      </c>
      <c r="AG404" s="30" t="s">
        <v>42</v>
      </c>
      <c r="AH404" s="30" t="s">
        <v>6</v>
      </c>
      <c r="AI404" s="30"/>
    </row>
    <row r="405" spans="1:35" x14ac:dyDescent="0.3">
      <c r="A405" s="30">
        <v>223</v>
      </c>
      <c r="B405" s="30" t="s">
        <v>569</v>
      </c>
      <c r="C405" s="30" t="s">
        <v>570</v>
      </c>
      <c r="D405" s="31">
        <v>46112</v>
      </c>
      <c r="E405" s="30">
        <v>1342</v>
      </c>
      <c r="F405" s="30">
        <v>0</v>
      </c>
      <c r="G405" s="32">
        <v>-5596</v>
      </c>
      <c r="H405" s="30">
        <v>40841006472</v>
      </c>
      <c r="I405" s="30" t="s">
        <v>945</v>
      </c>
      <c r="J405" s="30" t="s">
        <v>708</v>
      </c>
      <c r="K405" s="30" t="s">
        <v>42</v>
      </c>
      <c r="L405" s="30" t="s">
        <v>194</v>
      </c>
      <c r="M405" s="30" t="s">
        <v>195</v>
      </c>
      <c r="N405" s="30" t="s">
        <v>397</v>
      </c>
      <c r="O405" s="30">
        <v>-3.76</v>
      </c>
      <c r="P405" s="30">
        <v>1486.64</v>
      </c>
      <c r="Q405" s="30" t="s">
        <v>622</v>
      </c>
      <c r="R405" s="30" t="s">
        <v>623</v>
      </c>
      <c r="S405" s="30"/>
      <c r="T405" s="30"/>
      <c r="U405" s="30"/>
      <c r="V405" s="30" t="s">
        <v>172</v>
      </c>
      <c r="W405" s="30" t="s">
        <v>282</v>
      </c>
      <c r="X405" s="30" t="s">
        <v>589</v>
      </c>
      <c r="Y405" s="30" t="s">
        <v>943</v>
      </c>
      <c r="Z405" s="30">
        <v>13</v>
      </c>
      <c r="AA405" s="30" t="s">
        <v>197</v>
      </c>
      <c r="AB405" s="30">
        <v>11</v>
      </c>
      <c r="AC405" s="30" t="s">
        <v>177</v>
      </c>
      <c r="AD405" s="30" t="s">
        <v>178</v>
      </c>
      <c r="AE405" s="30" t="s">
        <v>8</v>
      </c>
      <c r="AF405" s="30" t="s">
        <v>38</v>
      </c>
      <c r="AG405" s="30" t="s">
        <v>42</v>
      </c>
      <c r="AH405" s="30" t="s">
        <v>6</v>
      </c>
      <c r="AI405" s="30"/>
    </row>
    <row r="406" spans="1:35" x14ac:dyDescent="0.3">
      <c r="A406" s="30">
        <v>224</v>
      </c>
      <c r="B406" s="30" t="s">
        <v>569</v>
      </c>
      <c r="C406" s="30" t="s">
        <v>570</v>
      </c>
      <c r="D406" s="31">
        <v>46112</v>
      </c>
      <c r="E406" s="30">
        <v>1342</v>
      </c>
      <c r="F406" s="30">
        <v>0</v>
      </c>
      <c r="G406" s="32">
        <v>1852073</v>
      </c>
      <c r="H406" s="30">
        <v>40842858545</v>
      </c>
      <c r="I406" s="30" t="s">
        <v>946</v>
      </c>
      <c r="J406" s="30" t="s">
        <v>708</v>
      </c>
      <c r="K406" s="30" t="s">
        <v>42</v>
      </c>
      <c r="L406" s="30" t="s">
        <v>194</v>
      </c>
      <c r="M406" s="30" t="s">
        <v>195</v>
      </c>
      <c r="N406" s="30" t="s">
        <v>397</v>
      </c>
      <c r="O406" s="30">
        <v>1245.81</v>
      </c>
      <c r="P406" s="30">
        <v>1486.64</v>
      </c>
      <c r="Q406" s="30" t="s">
        <v>622</v>
      </c>
      <c r="R406" s="30" t="s">
        <v>623</v>
      </c>
      <c r="S406" s="30"/>
      <c r="T406" s="30"/>
      <c r="U406" s="30"/>
      <c r="V406" s="30" t="s">
        <v>172</v>
      </c>
      <c r="W406" s="30" t="s">
        <v>282</v>
      </c>
      <c r="X406" s="30" t="s">
        <v>589</v>
      </c>
      <c r="Y406" s="30" t="s">
        <v>943</v>
      </c>
      <c r="Z406" s="30">
        <v>16</v>
      </c>
      <c r="AA406" s="30" t="s">
        <v>197</v>
      </c>
      <c r="AB406" s="30">
        <v>11</v>
      </c>
      <c r="AC406" s="30" t="s">
        <v>177</v>
      </c>
      <c r="AD406" s="30" t="s">
        <v>178</v>
      </c>
      <c r="AE406" s="30" t="s">
        <v>8</v>
      </c>
      <c r="AF406" s="30" t="s">
        <v>38</v>
      </c>
      <c r="AG406" s="30" t="s">
        <v>42</v>
      </c>
      <c r="AH406" s="30" t="s">
        <v>6</v>
      </c>
      <c r="AI406" s="30"/>
    </row>
    <row r="407" spans="1:35" x14ac:dyDescent="0.3">
      <c r="A407" s="30">
        <v>225</v>
      </c>
      <c r="B407" s="30" t="s">
        <v>569</v>
      </c>
      <c r="C407" s="30" t="s">
        <v>570</v>
      </c>
      <c r="D407" s="31">
        <v>46112</v>
      </c>
      <c r="E407" s="30">
        <v>1342</v>
      </c>
      <c r="F407" s="30">
        <v>0</v>
      </c>
      <c r="G407" s="32">
        <v>185100</v>
      </c>
      <c r="H407" s="30">
        <v>40843043645</v>
      </c>
      <c r="I407" s="30" t="s">
        <v>947</v>
      </c>
      <c r="J407" s="30" t="s">
        <v>708</v>
      </c>
      <c r="K407" s="30" t="s">
        <v>42</v>
      </c>
      <c r="L407" s="30" t="s">
        <v>194</v>
      </c>
      <c r="M407" s="30" t="s">
        <v>195</v>
      </c>
      <c r="N407" s="30" t="s">
        <v>397</v>
      </c>
      <c r="O407" s="30">
        <v>124.51</v>
      </c>
      <c r="P407" s="30">
        <v>1486.64</v>
      </c>
      <c r="Q407" s="30" t="s">
        <v>622</v>
      </c>
      <c r="R407" s="30" t="s">
        <v>623</v>
      </c>
      <c r="S407" s="30"/>
      <c r="T407" s="30"/>
      <c r="U407" s="30"/>
      <c r="V407" s="30" t="s">
        <v>172</v>
      </c>
      <c r="W407" s="30" t="s">
        <v>282</v>
      </c>
      <c r="X407" s="30" t="s">
        <v>589</v>
      </c>
      <c r="Y407" s="30" t="s">
        <v>943</v>
      </c>
      <c r="Z407" s="30">
        <v>22</v>
      </c>
      <c r="AA407" s="30" t="s">
        <v>197</v>
      </c>
      <c r="AB407" s="30">
        <v>11</v>
      </c>
      <c r="AC407" s="30" t="s">
        <v>177</v>
      </c>
      <c r="AD407" s="30" t="s">
        <v>178</v>
      </c>
      <c r="AE407" s="30" t="s">
        <v>8</v>
      </c>
      <c r="AF407" s="30" t="s">
        <v>38</v>
      </c>
      <c r="AG407" s="30" t="s">
        <v>42</v>
      </c>
      <c r="AH407" s="30" t="s">
        <v>6</v>
      </c>
      <c r="AI407" s="30"/>
    </row>
    <row r="408" spans="1:35" x14ac:dyDescent="0.3">
      <c r="A408" s="30">
        <v>226</v>
      </c>
      <c r="B408" s="30" t="s">
        <v>569</v>
      </c>
      <c r="C408" s="30" t="s">
        <v>570</v>
      </c>
      <c r="D408" s="31">
        <v>46112</v>
      </c>
      <c r="E408" s="30">
        <v>1342</v>
      </c>
      <c r="F408" s="30">
        <v>0</v>
      </c>
      <c r="G408" s="32">
        <v>47732353</v>
      </c>
      <c r="H408" s="30">
        <v>40890775998</v>
      </c>
      <c r="I408" s="30" t="s">
        <v>948</v>
      </c>
      <c r="J408" s="30" t="s">
        <v>708</v>
      </c>
      <c r="K408" s="30" t="s">
        <v>42</v>
      </c>
      <c r="L408" s="30" t="s">
        <v>194</v>
      </c>
      <c r="M408" s="30" t="s">
        <v>195</v>
      </c>
      <c r="N408" s="30" t="s">
        <v>397</v>
      </c>
      <c r="O408" s="30">
        <v>32107.54</v>
      </c>
      <c r="P408" s="30">
        <v>1486.64</v>
      </c>
      <c r="Q408" s="30" t="s">
        <v>924</v>
      </c>
      <c r="R408" s="30" t="s">
        <v>925</v>
      </c>
      <c r="S408" s="30"/>
      <c r="T408" s="30"/>
      <c r="U408" s="30"/>
      <c r="V408" s="30" t="s">
        <v>172</v>
      </c>
      <c r="W408" s="30" t="s">
        <v>282</v>
      </c>
      <c r="X408" s="30" t="s">
        <v>589</v>
      </c>
      <c r="Y408" s="30" t="s">
        <v>943</v>
      </c>
      <c r="Z408" s="30">
        <v>25</v>
      </c>
      <c r="AA408" s="30" t="s">
        <v>197</v>
      </c>
      <c r="AB408" s="30">
        <v>11</v>
      </c>
      <c r="AC408" s="30" t="s">
        <v>177</v>
      </c>
      <c r="AD408" s="30" t="s">
        <v>178</v>
      </c>
      <c r="AE408" s="30" t="s">
        <v>8</v>
      </c>
      <c r="AF408" s="30" t="s">
        <v>38</v>
      </c>
      <c r="AG408" s="30" t="s">
        <v>42</v>
      </c>
      <c r="AH408" s="30" t="s">
        <v>6</v>
      </c>
      <c r="AI408" s="30"/>
    </row>
    <row r="409" spans="1:35" x14ac:dyDescent="0.3">
      <c r="A409" s="30">
        <v>227</v>
      </c>
      <c r="B409" s="30" t="s">
        <v>569</v>
      </c>
      <c r="C409" s="30" t="s">
        <v>570</v>
      </c>
      <c r="D409" s="31">
        <v>46112</v>
      </c>
      <c r="E409" s="30">
        <v>1341</v>
      </c>
      <c r="F409" s="30">
        <v>0</v>
      </c>
      <c r="G409" s="32">
        <v>-19789</v>
      </c>
      <c r="H409" s="30">
        <v>40890756209</v>
      </c>
      <c r="I409" s="30" t="s">
        <v>949</v>
      </c>
      <c r="J409" s="30" t="s">
        <v>708</v>
      </c>
      <c r="K409" s="30" t="s">
        <v>42</v>
      </c>
      <c r="L409" s="30" t="s">
        <v>670</v>
      </c>
      <c r="M409" s="30" t="s">
        <v>671</v>
      </c>
      <c r="N409" s="30" t="s">
        <v>397</v>
      </c>
      <c r="O409" s="30">
        <v>-13.6</v>
      </c>
      <c r="P409" s="30">
        <v>1456.51</v>
      </c>
      <c r="Q409" s="30" t="s">
        <v>716</v>
      </c>
      <c r="R409" s="30" t="s">
        <v>717</v>
      </c>
      <c r="S409" s="30"/>
      <c r="T409" s="30"/>
      <c r="U409" s="30"/>
      <c r="V409" s="30" t="s">
        <v>172</v>
      </c>
      <c r="W409" s="30" t="s">
        <v>282</v>
      </c>
      <c r="X409" s="30" t="s">
        <v>589</v>
      </c>
      <c r="Y409" s="30" t="s">
        <v>950</v>
      </c>
      <c r="Z409" s="30">
        <v>1</v>
      </c>
      <c r="AA409" s="30" t="s">
        <v>197</v>
      </c>
      <c r="AB409" s="30">
        <v>11</v>
      </c>
      <c r="AC409" s="30" t="s">
        <v>177</v>
      </c>
      <c r="AD409" s="30" t="s">
        <v>178</v>
      </c>
      <c r="AE409" s="30" t="s">
        <v>8</v>
      </c>
      <c r="AF409" s="30" t="s">
        <v>38</v>
      </c>
      <c r="AG409" s="30" t="s">
        <v>42</v>
      </c>
      <c r="AH409" s="30" t="s">
        <v>6</v>
      </c>
      <c r="AI409" s="30"/>
    </row>
    <row r="410" spans="1:35" x14ac:dyDescent="0.3">
      <c r="A410" s="30">
        <v>228</v>
      </c>
      <c r="B410" s="30" t="s">
        <v>569</v>
      </c>
      <c r="C410" s="30" t="s">
        <v>570</v>
      </c>
      <c r="D410" s="31">
        <v>46112</v>
      </c>
      <c r="E410" s="30">
        <v>1341</v>
      </c>
      <c r="F410" s="30">
        <v>0</v>
      </c>
      <c r="G410" s="32">
        <v>964636</v>
      </c>
      <c r="H410" s="30">
        <v>40891720845</v>
      </c>
      <c r="I410" s="30" t="s">
        <v>951</v>
      </c>
      <c r="J410" s="30" t="s">
        <v>708</v>
      </c>
      <c r="K410" s="30" t="s">
        <v>42</v>
      </c>
      <c r="L410" s="30" t="s">
        <v>670</v>
      </c>
      <c r="M410" s="30" t="s">
        <v>671</v>
      </c>
      <c r="N410" s="30" t="s">
        <v>397</v>
      </c>
      <c r="O410" s="30">
        <v>662.3</v>
      </c>
      <c r="P410" s="30">
        <v>1456.51</v>
      </c>
      <c r="Q410" s="30" t="s">
        <v>622</v>
      </c>
      <c r="R410" s="30" t="s">
        <v>623</v>
      </c>
      <c r="S410" s="30"/>
      <c r="T410" s="30"/>
      <c r="U410" s="30"/>
      <c r="V410" s="30" t="s">
        <v>172</v>
      </c>
      <c r="W410" s="30" t="s">
        <v>282</v>
      </c>
      <c r="X410" s="30" t="s">
        <v>589</v>
      </c>
      <c r="Y410" s="30" t="s">
        <v>950</v>
      </c>
      <c r="Z410" s="30">
        <v>7</v>
      </c>
      <c r="AA410" s="30" t="s">
        <v>197</v>
      </c>
      <c r="AB410" s="30">
        <v>11</v>
      </c>
      <c r="AC410" s="30" t="s">
        <v>177</v>
      </c>
      <c r="AD410" s="30" t="s">
        <v>178</v>
      </c>
      <c r="AE410" s="30" t="s">
        <v>8</v>
      </c>
      <c r="AF410" s="30" t="s">
        <v>38</v>
      </c>
      <c r="AG410" s="30" t="s">
        <v>42</v>
      </c>
      <c r="AH410" s="30" t="s">
        <v>6</v>
      </c>
      <c r="AI410" s="30"/>
    </row>
    <row r="411" spans="1:35" x14ac:dyDescent="0.3">
      <c r="A411" s="30">
        <v>229</v>
      </c>
      <c r="B411" s="30" t="s">
        <v>569</v>
      </c>
      <c r="C411" s="30" t="s">
        <v>570</v>
      </c>
      <c r="D411" s="31">
        <v>46112</v>
      </c>
      <c r="E411" s="30">
        <v>1371</v>
      </c>
      <c r="F411" s="30">
        <v>0</v>
      </c>
      <c r="G411" s="32">
        <v>1499455</v>
      </c>
      <c r="H411" s="30">
        <v>40893220300</v>
      </c>
      <c r="I411" s="30" t="s">
        <v>952</v>
      </c>
      <c r="J411" s="30" t="s">
        <v>387</v>
      </c>
      <c r="K411" s="30" t="s">
        <v>388</v>
      </c>
      <c r="L411" s="30" t="s">
        <v>194</v>
      </c>
      <c r="M411" s="30" t="s">
        <v>195</v>
      </c>
      <c r="N411" s="30" t="s">
        <v>397</v>
      </c>
      <c r="O411" s="30">
        <v>1008.62</v>
      </c>
      <c r="P411" s="30">
        <v>1486.64</v>
      </c>
      <c r="Q411" s="30" t="s">
        <v>168</v>
      </c>
      <c r="R411" s="30" t="s">
        <v>169</v>
      </c>
      <c r="S411" s="30"/>
      <c r="T411" s="30"/>
      <c r="U411" s="30"/>
      <c r="V411" s="30" t="s">
        <v>172</v>
      </c>
      <c r="W411" s="30" t="s">
        <v>282</v>
      </c>
      <c r="X411" s="30" t="s">
        <v>228</v>
      </c>
      <c r="Y411" s="30" t="s">
        <v>953</v>
      </c>
      <c r="Z411" s="30">
        <v>4</v>
      </c>
      <c r="AA411" s="30" t="s">
        <v>197</v>
      </c>
      <c r="AB411" s="30">
        <v>11</v>
      </c>
      <c r="AC411" s="30" t="s">
        <v>177</v>
      </c>
      <c r="AD411" s="30" t="s">
        <v>178</v>
      </c>
      <c r="AE411" s="30" t="s">
        <v>8</v>
      </c>
      <c r="AF411" s="30" t="s">
        <v>53</v>
      </c>
      <c r="AG411" s="30" t="s">
        <v>53</v>
      </c>
      <c r="AH411" s="30" t="s">
        <v>6</v>
      </c>
      <c r="AI411" s="30" t="s">
        <v>54</v>
      </c>
    </row>
    <row r="412" spans="1:35" x14ac:dyDescent="0.3">
      <c r="A412" s="30">
        <v>230</v>
      </c>
      <c r="B412" s="30" t="s">
        <v>569</v>
      </c>
      <c r="C412" s="30" t="s">
        <v>570</v>
      </c>
      <c r="D412" s="31">
        <v>46112</v>
      </c>
      <c r="E412" s="30">
        <v>1371</v>
      </c>
      <c r="F412" s="30">
        <v>0</v>
      </c>
      <c r="G412" s="32">
        <v>4998173</v>
      </c>
      <c r="H412" s="30">
        <v>40898218473</v>
      </c>
      <c r="I412" s="30" t="s">
        <v>954</v>
      </c>
      <c r="J412" s="30" t="s">
        <v>387</v>
      </c>
      <c r="K412" s="30" t="s">
        <v>388</v>
      </c>
      <c r="L412" s="30" t="s">
        <v>194</v>
      </c>
      <c r="M412" s="30" t="s">
        <v>195</v>
      </c>
      <c r="N412" s="30" t="s">
        <v>397</v>
      </c>
      <c r="O412" s="30">
        <v>3362.06</v>
      </c>
      <c r="P412" s="30">
        <v>1486.64</v>
      </c>
      <c r="Q412" s="30" t="s">
        <v>168</v>
      </c>
      <c r="R412" s="30" t="s">
        <v>169</v>
      </c>
      <c r="S412" s="30"/>
      <c r="T412" s="30"/>
      <c r="U412" s="30"/>
      <c r="V412" s="30" t="s">
        <v>172</v>
      </c>
      <c r="W412" s="30" t="s">
        <v>282</v>
      </c>
      <c r="X412" s="30" t="s">
        <v>228</v>
      </c>
      <c r="Y412" s="30" t="s">
        <v>953</v>
      </c>
      <c r="Z412" s="30">
        <v>5</v>
      </c>
      <c r="AA412" s="30" t="s">
        <v>197</v>
      </c>
      <c r="AB412" s="30">
        <v>11</v>
      </c>
      <c r="AC412" s="30" t="s">
        <v>177</v>
      </c>
      <c r="AD412" s="30" t="s">
        <v>178</v>
      </c>
      <c r="AE412" s="30" t="s">
        <v>8</v>
      </c>
      <c r="AF412" s="30" t="s">
        <v>53</v>
      </c>
      <c r="AG412" s="30" t="s">
        <v>53</v>
      </c>
      <c r="AH412" s="30" t="s">
        <v>6</v>
      </c>
      <c r="AI412" s="30" t="s">
        <v>54</v>
      </c>
    </row>
    <row r="413" spans="1:35" x14ac:dyDescent="0.3">
      <c r="A413" s="30">
        <v>231</v>
      </c>
      <c r="B413" s="30" t="s">
        <v>569</v>
      </c>
      <c r="C413" s="30" t="s">
        <v>570</v>
      </c>
      <c r="D413" s="31">
        <v>46112</v>
      </c>
      <c r="E413" s="30">
        <v>1373</v>
      </c>
      <c r="F413" s="30">
        <v>0</v>
      </c>
      <c r="G413" s="32">
        <v>86513528</v>
      </c>
      <c r="H413" s="30">
        <v>40984732001</v>
      </c>
      <c r="I413" s="30" t="s">
        <v>955</v>
      </c>
      <c r="J413" s="30" t="s">
        <v>657</v>
      </c>
      <c r="K413" s="30" t="s">
        <v>658</v>
      </c>
      <c r="L413" s="30" t="s">
        <v>194</v>
      </c>
      <c r="M413" s="30" t="s">
        <v>195</v>
      </c>
      <c r="N413" s="30" t="s">
        <v>397</v>
      </c>
      <c r="O413" s="30">
        <v>58194</v>
      </c>
      <c r="P413" s="30">
        <v>1486.64</v>
      </c>
      <c r="Q413" s="30" t="s">
        <v>168</v>
      </c>
      <c r="R413" s="30" t="s">
        <v>169</v>
      </c>
      <c r="S413" s="30"/>
      <c r="T413" s="30"/>
      <c r="U413" s="30"/>
      <c r="V413" s="30" t="s">
        <v>172</v>
      </c>
      <c r="W413" s="30" t="s">
        <v>282</v>
      </c>
      <c r="X413" s="30" t="s">
        <v>228</v>
      </c>
      <c r="Y413" s="30" t="s">
        <v>956</v>
      </c>
      <c r="Z413" s="30">
        <v>1</v>
      </c>
      <c r="AA413" s="30" t="s">
        <v>197</v>
      </c>
      <c r="AB413" s="30">
        <v>11</v>
      </c>
      <c r="AC413" s="30" t="s">
        <v>177</v>
      </c>
      <c r="AD413" s="30" t="s">
        <v>178</v>
      </c>
      <c r="AE413" s="30" t="s">
        <v>8</v>
      </c>
      <c r="AF413" s="30" t="s">
        <v>28</v>
      </c>
      <c r="AG413" s="30" t="s">
        <v>30</v>
      </c>
      <c r="AH413" s="30" t="s">
        <v>6</v>
      </c>
      <c r="AI413" s="30"/>
    </row>
    <row r="414" spans="1:35" x14ac:dyDescent="0.3">
      <c r="A414" s="30">
        <v>232</v>
      </c>
      <c r="B414" s="30" t="s">
        <v>569</v>
      </c>
      <c r="C414" s="30" t="s">
        <v>570</v>
      </c>
      <c r="D414" s="31">
        <v>46112</v>
      </c>
      <c r="E414" s="30">
        <v>1374</v>
      </c>
      <c r="F414" s="30">
        <v>0</v>
      </c>
      <c r="G414" s="32">
        <v>514300513</v>
      </c>
      <c r="H414" s="30">
        <v>41499032514</v>
      </c>
      <c r="I414" s="30" t="s">
        <v>957</v>
      </c>
      <c r="J414" s="30" t="s">
        <v>579</v>
      </c>
      <c r="K414" s="30" t="s">
        <v>580</v>
      </c>
      <c r="L414" s="30" t="s">
        <v>194</v>
      </c>
      <c r="M414" s="30" t="s">
        <v>195</v>
      </c>
      <c r="N414" s="30" t="s">
        <v>397</v>
      </c>
      <c r="O414" s="30">
        <v>345948.25</v>
      </c>
      <c r="P414" s="30">
        <v>1486.64</v>
      </c>
      <c r="Q414" s="30" t="s">
        <v>168</v>
      </c>
      <c r="R414" s="30" t="s">
        <v>169</v>
      </c>
      <c r="S414" s="30"/>
      <c r="T414" s="30"/>
      <c r="U414" s="30"/>
      <c r="V414" s="30" t="s">
        <v>172</v>
      </c>
      <c r="W414" s="30" t="s">
        <v>282</v>
      </c>
      <c r="X414" s="30" t="s">
        <v>228</v>
      </c>
      <c r="Y414" s="30" t="s">
        <v>958</v>
      </c>
      <c r="Z414" s="30">
        <v>5</v>
      </c>
      <c r="AA414" s="30" t="s">
        <v>197</v>
      </c>
      <c r="AB414" s="30">
        <v>11</v>
      </c>
      <c r="AC414" s="30" t="s">
        <v>177</v>
      </c>
      <c r="AD414" s="30" t="s">
        <v>178</v>
      </c>
      <c r="AE414" s="30" t="s">
        <v>8</v>
      </c>
      <c r="AF414" s="30" t="s">
        <v>28</v>
      </c>
      <c r="AG414" s="30" t="s">
        <v>15</v>
      </c>
      <c r="AH414" s="30" t="s">
        <v>6</v>
      </c>
      <c r="AI414" s="30"/>
    </row>
    <row r="415" spans="1:35" x14ac:dyDescent="0.3">
      <c r="A415" s="30">
        <v>233</v>
      </c>
      <c r="B415" s="30" t="s">
        <v>569</v>
      </c>
      <c r="C415" s="30" t="s">
        <v>570</v>
      </c>
      <c r="D415" s="31">
        <v>46112</v>
      </c>
      <c r="E415" s="30">
        <v>1426</v>
      </c>
      <c r="F415" s="30">
        <v>0</v>
      </c>
      <c r="G415" s="32">
        <v>848385</v>
      </c>
      <c r="H415" s="30">
        <v>41499880899</v>
      </c>
      <c r="I415" s="30" t="s">
        <v>669</v>
      </c>
      <c r="J415" s="30" t="s">
        <v>299</v>
      </c>
      <c r="K415" s="30" t="s">
        <v>300</v>
      </c>
      <c r="L415" s="30" t="s">
        <v>670</v>
      </c>
      <c r="M415" s="30" t="s">
        <v>671</v>
      </c>
      <c r="N415" s="30" t="s">
        <v>167</v>
      </c>
      <c r="O415" s="30">
        <v>848385</v>
      </c>
      <c r="P415" s="30">
        <v>1</v>
      </c>
      <c r="Q415" s="30" t="s">
        <v>168</v>
      </c>
      <c r="R415" s="30" t="s">
        <v>169</v>
      </c>
      <c r="S415" s="30"/>
      <c r="T415" s="30"/>
      <c r="U415" s="30"/>
      <c r="V415" s="30" t="s">
        <v>172</v>
      </c>
      <c r="W415" s="30" t="s">
        <v>282</v>
      </c>
      <c r="X415" s="30" t="s">
        <v>434</v>
      </c>
      <c r="Y415" s="30" t="s">
        <v>959</v>
      </c>
      <c r="Z415" s="30">
        <v>2621</v>
      </c>
      <c r="AA415" s="30" t="s">
        <v>673</v>
      </c>
      <c r="AB415" s="30">
        <v>12</v>
      </c>
      <c r="AC415" s="30" t="s">
        <v>205</v>
      </c>
      <c r="AD415" s="30" t="s">
        <v>178</v>
      </c>
      <c r="AE415" s="30" t="s">
        <v>8</v>
      </c>
      <c r="AF415" s="30" t="s">
        <v>28</v>
      </c>
      <c r="AG415" s="30" t="s">
        <v>32</v>
      </c>
      <c r="AH415" s="30" t="s">
        <v>6</v>
      </c>
      <c r="AI415" s="30"/>
    </row>
    <row r="416" spans="1:35" x14ac:dyDescent="0.3">
      <c r="A416" s="30">
        <v>234</v>
      </c>
      <c r="B416" s="30" t="s">
        <v>569</v>
      </c>
      <c r="C416" s="30" t="s">
        <v>570</v>
      </c>
      <c r="D416" s="31">
        <v>46112</v>
      </c>
      <c r="E416" s="30">
        <v>1440</v>
      </c>
      <c r="F416" s="30">
        <v>0</v>
      </c>
      <c r="G416" s="32">
        <v>-2120629176</v>
      </c>
      <c r="H416" s="30">
        <v>39379251723</v>
      </c>
      <c r="I416" s="30" t="s">
        <v>960</v>
      </c>
      <c r="J416" s="30" t="s">
        <v>961</v>
      </c>
      <c r="K416" s="30" t="s">
        <v>962</v>
      </c>
      <c r="L416" s="30" t="s">
        <v>963</v>
      </c>
      <c r="M416" s="30" t="s">
        <v>964</v>
      </c>
      <c r="N416" s="30" t="s">
        <v>167</v>
      </c>
      <c r="O416" s="30">
        <v>-2120629176</v>
      </c>
      <c r="P416" s="30">
        <v>1</v>
      </c>
      <c r="Q416" s="30" t="s">
        <v>168</v>
      </c>
      <c r="R416" s="30" t="s">
        <v>169</v>
      </c>
      <c r="S416" s="30" t="s">
        <v>965</v>
      </c>
      <c r="T416" s="30"/>
      <c r="U416" s="30"/>
      <c r="V416" s="30" t="s">
        <v>172</v>
      </c>
      <c r="W416" s="30" t="s">
        <v>282</v>
      </c>
      <c r="X416" s="30" t="s">
        <v>228</v>
      </c>
      <c r="Y416" s="30" t="s">
        <v>966</v>
      </c>
      <c r="Z416" s="30">
        <v>1</v>
      </c>
      <c r="AA416" s="30" t="s">
        <v>197</v>
      </c>
      <c r="AB416" s="30">
        <v>11</v>
      </c>
      <c r="AC416" s="30" t="s">
        <v>177</v>
      </c>
      <c r="AD416" s="30" t="s">
        <v>178</v>
      </c>
      <c r="AE416" s="30" t="s">
        <v>8</v>
      </c>
      <c r="AF416" s="30" t="s">
        <v>28</v>
      </c>
      <c r="AG416" s="30" t="s">
        <v>35</v>
      </c>
      <c r="AH416" s="30" t="s">
        <v>6</v>
      </c>
      <c r="AI416" s="30" t="s">
        <v>119</v>
      </c>
    </row>
    <row r="417" spans="1:35" x14ac:dyDescent="0.3">
      <c r="A417" s="30">
        <v>241</v>
      </c>
      <c r="B417" s="30" t="s">
        <v>569</v>
      </c>
      <c r="C417" s="30" t="s">
        <v>570</v>
      </c>
      <c r="D417" s="31">
        <v>46142</v>
      </c>
      <c r="E417" s="30">
        <v>1263</v>
      </c>
      <c r="F417" s="30">
        <v>0</v>
      </c>
      <c r="G417" s="32">
        <v>-3678979351</v>
      </c>
      <c r="H417" s="30">
        <v>-3678979351</v>
      </c>
      <c r="I417" s="30" t="s">
        <v>967</v>
      </c>
      <c r="J417" s="30" t="s">
        <v>572</v>
      </c>
      <c r="K417" s="30" t="s">
        <v>573</v>
      </c>
      <c r="L417" s="30" t="s">
        <v>194</v>
      </c>
      <c r="M417" s="30" t="s">
        <v>195</v>
      </c>
      <c r="N417" s="30" t="s">
        <v>397</v>
      </c>
      <c r="O417" s="30">
        <v>-2474694.1800000002</v>
      </c>
      <c r="P417" s="30">
        <v>1486.64</v>
      </c>
      <c r="Q417" s="30" t="s">
        <v>168</v>
      </c>
      <c r="R417" s="30" t="s">
        <v>169</v>
      </c>
      <c r="S417" s="30"/>
      <c r="T417" s="30"/>
      <c r="U417" s="30"/>
      <c r="V417" s="30" t="s">
        <v>172</v>
      </c>
      <c r="W417" s="30" t="s">
        <v>282</v>
      </c>
      <c r="X417" s="30" t="s">
        <v>228</v>
      </c>
      <c r="Y417" s="30" t="s">
        <v>968</v>
      </c>
      <c r="Z417" s="30">
        <v>7</v>
      </c>
      <c r="AA417" s="30" t="s">
        <v>575</v>
      </c>
      <c r="AB417" s="30">
        <v>11</v>
      </c>
      <c r="AC417" s="30" t="s">
        <v>177</v>
      </c>
      <c r="AD417" s="30" t="s">
        <v>178</v>
      </c>
      <c r="AE417" s="30" t="s">
        <v>8</v>
      </c>
      <c r="AF417" s="30" t="s">
        <v>28</v>
      </c>
      <c r="AG417" s="30" t="s">
        <v>9</v>
      </c>
      <c r="AH417" s="30" t="s">
        <v>7</v>
      </c>
      <c r="AI417" s="30"/>
    </row>
    <row r="418" spans="1:35" x14ac:dyDescent="0.3">
      <c r="A418" s="30">
        <v>242</v>
      </c>
      <c r="B418" s="30" t="s">
        <v>569</v>
      </c>
      <c r="C418" s="30" t="s">
        <v>570</v>
      </c>
      <c r="D418" s="31">
        <v>46142</v>
      </c>
      <c r="E418" s="30">
        <v>1263</v>
      </c>
      <c r="F418" s="30">
        <v>0</v>
      </c>
      <c r="G418" s="32">
        <v>-2290069380</v>
      </c>
      <c r="H418" s="30">
        <v>-5969048731</v>
      </c>
      <c r="I418" s="30" t="s">
        <v>969</v>
      </c>
      <c r="J418" s="30" t="s">
        <v>572</v>
      </c>
      <c r="K418" s="30" t="s">
        <v>573</v>
      </c>
      <c r="L418" s="30" t="s">
        <v>194</v>
      </c>
      <c r="M418" s="30" t="s">
        <v>195</v>
      </c>
      <c r="N418" s="30" t="s">
        <v>397</v>
      </c>
      <c r="O418" s="30">
        <v>-1540433.04</v>
      </c>
      <c r="P418" s="30">
        <v>1486.64</v>
      </c>
      <c r="Q418" s="30" t="s">
        <v>168</v>
      </c>
      <c r="R418" s="30" t="s">
        <v>169</v>
      </c>
      <c r="S418" s="30"/>
      <c r="T418" s="30"/>
      <c r="U418" s="30"/>
      <c r="V418" s="30" t="s">
        <v>172</v>
      </c>
      <c r="W418" s="30" t="s">
        <v>282</v>
      </c>
      <c r="X418" s="30" t="s">
        <v>228</v>
      </c>
      <c r="Y418" s="30" t="s">
        <v>968</v>
      </c>
      <c r="Z418" s="30">
        <v>8</v>
      </c>
      <c r="AA418" s="30" t="s">
        <v>575</v>
      </c>
      <c r="AB418" s="30">
        <v>11</v>
      </c>
      <c r="AC418" s="30" t="s">
        <v>177</v>
      </c>
      <c r="AD418" s="30" t="s">
        <v>178</v>
      </c>
      <c r="AE418" s="30" t="s">
        <v>8</v>
      </c>
      <c r="AF418" s="30" t="s">
        <v>28</v>
      </c>
      <c r="AG418" s="30" t="s">
        <v>9</v>
      </c>
      <c r="AH418" s="30" t="s">
        <v>7</v>
      </c>
      <c r="AI418" s="30"/>
    </row>
    <row r="419" spans="1:35" x14ac:dyDescent="0.3">
      <c r="A419" s="30">
        <v>243</v>
      </c>
      <c r="B419" s="30" t="s">
        <v>569</v>
      </c>
      <c r="C419" s="30" t="s">
        <v>570</v>
      </c>
      <c r="D419" s="31">
        <v>46142</v>
      </c>
      <c r="E419" s="30">
        <v>1263</v>
      </c>
      <c r="F419" s="30">
        <v>0</v>
      </c>
      <c r="G419" s="32">
        <v>-11722815185</v>
      </c>
      <c r="H419" s="30">
        <v>-17691863916</v>
      </c>
      <c r="I419" s="30" t="s">
        <v>970</v>
      </c>
      <c r="J419" s="30" t="s">
        <v>572</v>
      </c>
      <c r="K419" s="30" t="s">
        <v>573</v>
      </c>
      <c r="L419" s="30" t="s">
        <v>194</v>
      </c>
      <c r="M419" s="30" t="s">
        <v>195</v>
      </c>
      <c r="N419" s="30" t="s">
        <v>397</v>
      </c>
      <c r="O419" s="30">
        <v>-7885443.1399999997</v>
      </c>
      <c r="P419" s="30">
        <v>1486.64</v>
      </c>
      <c r="Q419" s="30" t="s">
        <v>168</v>
      </c>
      <c r="R419" s="30" t="s">
        <v>169</v>
      </c>
      <c r="S419" s="30"/>
      <c r="T419" s="30"/>
      <c r="U419" s="30"/>
      <c r="V419" s="30" t="s">
        <v>172</v>
      </c>
      <c r="W419" s="30" t="s">
        <v>282</v>
      </c>
      <c r="X419" s="30" t="s">
        <v>228</v>
      </c>
      <c r="Y419" s="30" t="s">
        <v>968</v>
      </c>
      <c r="Z419" s="30">
        <v>9</v>
      </c>
      <c r="AA419" s="30" t="s">
        <v>575</v>
      </c>
      <c r="AB419" s="30">
        <v>11</v>
      </c>
      <c r="AC419" s="30" t="s">
        <v>177</v>
      </c>
      <c r="AD419" s="30" t="s">
        <v>178</v>
      </c>
      <c r="AE419" s="30" t="s">
        <v>8</v>
      </c>
      <c r="AF419" s="30" t="s">
        <v>28</v>
      </c>
      <c r="AG419" s="30" t="s">
        <v>9</v>
      </c>
      <c r="AH419" s="30" t="s">
        <v>7</v>
      </c>
      <c r="AI419" s="30"/>
    </row>
    <row r="420" spans="1:35" x14ac:dyDescent="0.3">
      <c r="A420" s="30">
        <v>244</v>
      </c>
      <c r="B420" s="30" t="s">
        <v>569</v>
      </c>
      <c r="C420" s="30" t="s">
        <v>570</v>
      </c>
      <c r="D420" s="31">
        <v>46142</v>
      </c>
      <c r="E420" s="30">
        <v>1264</v>
      </c>
      <c r="F420" s="30">
        <v>0</v>
      </c>
      <c r="G420" s="32">
        <v>-861867208</v>
      </c>
      <c r="H420" s="30">
        <v>-18553731124</v>
      </c>
      <c r="I420" s="30" t="s">
        <v>971</v>
      </c>
      <c r="J420" s="30" t="s">
        <v>689</v>
      </c>
      <c r="K420" s="30" t="s">
        <v>690</v>
      </c>
      <c r="L420" s="30" t="s">
        <v>194</v>
      </c>
      <c r="M420" s="30" t="s">
        <v>195</v>
      </c>
      <c r="N420" s="30" t="s">
        <v>397</v>
      </c>
      <c r="O420" s="30">
        <v>-579741.69999999995</v>
      </c>
      <c r="P420" s="30">
        <v>1486.64</v>
      </c>
      <c r="Q420" s="30" t="s">
        <v>168</v>
      </c>
      <c r="R420" s="30" t="s">
        <v>169</v>
      </c>
      <c r="S420" s="30"/>
      <c r="T420" s="30"/>
      <c r="U420" s="30"/>
      <c r="V420" s="30" t="s">
        <v>172</v>
      </c>
      <c r="W420" s="30" t="s">
        <v>282</v>
      </c>
      <c r="X420" s="30" t="s">
        <v>228</v>
      </c>
      <c r="Y420" s="30" t="s">
        <v>972</v>
      </c>
      <c r="Z420" s="30">
        <v>3</v>
      </c>
      <c r="AA420" s="30" t="s">
        <v>575</v>
      </c>
      <c r="AB420" s="30">
        <v>11</v>
      </c>
      <c r="AC420" s="30" t="s">
        <v>177</v>
      </c>
      <c r="AD420" s="30" t="s">
        <v>178</v>
      </c>
      <c r="AE420" s="30" t="s">
        <v>8</v>
      </c>
      <c r="AF420" s="30" t="s">
        <v>28</v>
      </c>
      <c r="AG420" s="30" t="s">
        <v>13</v>
      </c>
      <c r="AH420" s="30" t="s">
        <v>7</v>
      </c>
      <c r="AI420" s="30"/>
    </row>
    <row r="421" spans="1:35" x14ac:dyDescent="0.3">
      <c r="A421" s="30">
        <v>245</v>
      </c>
      <c r="B421" s="30" t="s">
        <v>569</v>
      </c>
      <c r="C421" s="30" t="s">
        <v>570</v>
      </c>
      <c r="D421" s="31">
        <v>46142</v>
      </c>
      <c r="E421" s="30">
        <v>1265</v>
      </c>
      <c r="F421" s="30">
        <v>0</v>
      </c>
      <c r="G421" s="32">
        <v>-5899015255</v>
      </c>
      <c r="H421" s="30">
        <v>-24452746379</v>
      </c>
      <c r="I421" s="30" t="s">
        <v>973</v>
      </c>
      <c r="J421" s="30" t="s">
        <v>675</v>
      </c>
      <c r="K421" s="30" t="s">
        <v>676</v>
      </c>
      <c r="L421" s="30" t="s">
        <v>194</v>
      </c>
      <c r="M421" s="30" t="s">
        <v>195</v>
      </c>
      <c r="N421" s="30" t="s">
        <v>167</v>
      </c>
      <c r="O421" s="30">
        <v>-5899015255</v>
      </c>
      <c r="P421" s="30">
        <v>1</v>
      </c>
      <c r="Q421" s="30" t="s">
        <v>168</v>
      </c>
      <c r="R421" s="30" t="s">
        <v>169</v>
      </c>
      <c r="S421" s="30"/>
      <c r="T421" s="30"/>
      <c r="U421" s="30"/>
      <c r="V421" s="30" t="s">
        <v>172</v>
      </c>
      <c r="W421" s="30" t="s">
        <v>282</v>
      </c>
      <c r="X421" s="30" t="s">
        <v>228</v>
      </c>
      <c r="Y421" s="30" t="s">
        <v>974</v>
      </c>
      <c r="Z421" s="30">
        <v>5</v>
      </c>
      <c r="AA421" s="30" t="s">
        <v>575</v>
      </c>
      <c r="AB421" s="30">
        <v>11</v>
      </c>
      <c r="AC421" s="30" t="s">
        <v>177</v>
      </c>
      <c r="AD421" s="30" t="s">
        <v>178</v>
      </c>
      <c r="AE421" s="30" t="s">
        <v>8</v>
      </c>
      <c r="AF421" s="30" t="s">
        <v>28</v>
      </c>
      <c r="AG421" s="30" t="s">
        <v>10</v>
      </c>
      <c r="AH421" s="30" t="s">
        <v>7</v>
      </c>
      <c r="AI421" s="30"/>
    </row>
    <row r="422" spans="1:35" x14ac:dyDescent="0.3">
      <c r="A422" s="30">
        <v>246</v>
      </c>
      <c r="B422" s="30" t="s">
        <v>569</v>
      </c>
      <c r="C422" s="30" t="s">
        <v>570</v>
      </c>
      <c r="D422" s="31">
        <v>46142</v>
      </c>
      <c r="E422" s="30">
        <v>1265</v>
      </c>
      <c r="F422" s="30">
        <v>0</v>
      </c>
      <c r="G422" s="32">
        <v>-920847785</v>
      </c>
      <c r="H422" s="30">
        <v>-25373594164</v>
      </c>
      <c r="I422" s="30" t="s">
        <v>975</v>
      </c>
      <c r="J422" s="30" t="s">
        <v>675</v>
      </c>
      <c r="K422" s="30" t="s">
        <v>676</v>
      </c>
      <c r="L422" s="30" t="s">
        <v>194</v>
      </c>
      <c r="M422" s="30" t="s">
        <v>195</v>
      </c>
      <c r="N422" s="30" t="s">
        <v>167</v>
      </c>
      <c r="O422" s="30">
        <v>-920847785</v>
      </c>
      <c r="P422" s="30">
        <v>1</v>
      </c>
      <c r="Q422" s="30" t="s">
        <v>168</v>
      </c>
      <c r="R422" s="30" t="s">
        <v>169</v>
      </c>
      <c r="S422" s="30"/>
      <c r="T422" s="30"/>
      <c r="U422" s="30"/>
      <c r="V422" s="30" t="s">
        <v>172</v>
      </c>
      <c r="W422" s="30" t="s">
        <v>282</v>
      </c>
      <c r="X422" s="30" t="s">
        <v>228</v>
      </c>
      <c r="Y422" s="30" t="s">
        <v>974</v>
      </c>
      <c r="Z422" s="30">
        <v>6</v>
      </c>
      <c r="AA422" s="30" t="s">
        <v>575</v>
      </c>
      <c r="AB422" s="30">
        <v>11</v>
      </c>
      <c r="AC422" s="30" t="s">
        <v>177</v>
      </c>
      <c r="AD422" s="30" t="s">
        <v>178</v>
      </c>
      <c r="AE422" s="30" t="s">
        <v>8</v>
      </c>
      <c r="AF422" s="30" t="s">
        <v>28</v>
      </c>
      <c r="AG422" s="30" t="s">
        <v>10</v>
      </c>
      <c r="AH422" s="30" t="s">
        <v>7</v>
      </c>
      <c r="AI422" s="30"/>
    </row>
    <row r="423" spans="1:35" x14ac:dyDescent="0.3">
      <c r="A423" s="30">
        <v>247</v>
      </c>
      <c r="B423" s="30" t="s">
        <v>569</v>
      </c>
      <c r="C423" s="30" t="s">
        <v>570</v>
      </c>
      <c r="D423" s="31">
        <v>46142</v>
      </c>
      <c r="E423" s="30">
        <v>1265</v>
      </c>
      <c r="F423" s="30">
        <v>0</v>
      </c>
      <c r="G423" s="32">
        <v>-6711578146</v>
      </c>
      <c r="H423" s="30">
        <v>-32085172310</v>
      </c>
      <c r="I423" s="30" t="s">
        <v>976</v>
      </c>
      <c r="J423" s="30" t="s">
        <v>675</v>
      </c>
      <c r="K423" s="30" t="s">
        <v>676</v>
      </c>
      <c r="L423" s="30" t="s">
        <v>194</v>
      </c>
      <c r="M423" s="30" t="s">
        <v>195</v>
      </c>
      <c r="N423" s="30" t="s">
        <v>167</v>
      </c>
      <c r="O423" s="30">
        <v>-6711578146</v>
      </c>
      <c r="P423" s="30">
        <v>1</v>
      </c>
      <c r="Q423" s="30" t="s">
        <v>168</v>
      </c>
      <c r="R423" s="30" t="s">
        <v>169</v>
      </c>
      <c r="S423" s="30"/>
      <c r="T423" s="30"/>
      <c r="U423" s="30"/>
      <c r="V423" s="30" t="s">
        <v>172</v>
      </c>
      <c r="W423" s="30" t="s">
        <v>282</v>
      </c>
      <c r="X423" s="30" t="s">
        <v>228</v>
      </c>
      <c r="Y423" s="30" t="s">
        <v>974</v>
      </c>
      <c r="Z423" s="30">
        <v>7</v>
      </c>
      <c r="AA423" s="30" t="s">
        <v>575</v>
      </c>
      <c r="AB423" s="30">
        <v>11</v>
      </c>
      <c r="AC423" s="30" t="s">
        <v>177</v>
      </c>
      <c r="AD423" s="30" t="s">
        <v>178</v>
      </c>
      <c r="AE423" s="30" t="s">
        <v>8</v>
      </c>
      <c r="AF423" s="30" t="s">
        <v>28</v>
      </c>
      <c r="AG423" s="30" t="s">
        <v>10</v>
      </c>
      <c r="AH423" s="30" t="s">
        <v>7</v>
      </c>
      <c r="AI423" s="30"/>
    </row>
    <row r="424" spans="1:35" x14ac:dyDescent="0.3">
      <c r="A424" s="30">
        <v>248</v>
      </c>
      <c r="B424" s="30" t="s">
        <v>569</v>
      </c>
      <c r="C424" s="30" t="s">
        <v>570</v>
      </c>
      <c r="D424" s="31">
        <v>46142</v>
      </c>
      <c r="E424" s="30">
        <v>1266</v>
      </c>
      <c r="F424" s="30">
        <v>0</v>
      </c>
      <c r="G424" s="32">
        <v>-752014</v>
      </c>
      <c r="H424" s="30">
        <v>-32085924324</v>
      </c>
      <c r="I424" s="30" t="s">
        <v>977</v>
      </c>
      <c r="J424" s="30" t="s">
        <v>720</v>
      </c>
      <c r="K424" s="30" t="s">
        <v>29</v>
      </c>
      <c r="L424" s="30" t="s">
        <v>194</v>
      </c>
      <c r="M424" s="30" t="s">
        <v>195</v>
      </c>
      <c r="N424" s="30" t="s">
        <v>721</v>
      </c>
      <c r="O424" s="30">
        <v>-437.66</v>
      </c>
      <c r="P424" s="30">
        <v>1718.26</v>
      </c>
      <c r="Q424" s="30" t="s">
        <v>168</v>
      </c>
      <c r="R424" s="30" t="s">
        <v>169</v>
      </c>
      <c r="S424" s="30"/>
      <c r="T424" s="30"/>
      <c r="U424" s="30"/>
      <c r="V424" s="30" t="s">
        <v>172</v>
      </c>
      <c r="W424" s="30" t="s">
        <v>282</v>
      </c>
      <c r="X424" s="30" t="s">
        <v>228</v>
      </c>
      <c r="Y424" s="30" t="s">
        <v>978</v>
      </c>
      <c r="Z424" s="30">
        <v>9</v>
      </c>
      <c r="AA424" s="30" t="s">
        <v>575</v>
      </c>
      <c r="AB424" s="30">
        <v>11</v>
      </c>
      <c r="AC424" s="30" t="s">
        <v>177</v>
      </c>
      <c r="AD424" s="30" t="s">
        <v>178</v>
      </c>
      <c r="AE424" s="30" t="s">
        <v>8</v>
      </c>
      <c r="AF424" s="30" t="s">
        <v>28</v>
      </c>
      <c r="AG424" s="30" t="s">
        <v>29</v>
      </c>
      <c r="AH424" s="30" t="s">
        <v>7</v>
      </c>
      <c r="AI424" s="30"/>
    </row>
    <row r="425" spans="1:35" x14ac:dyDescent="0.3">
      <c r="A425" s="30">
        <v>249</v>
      </c>
      <c r="B425" s="30" t="s">
        <v>569</v>
      </c>
      <c r="C425" s="30" t="s">
        <v>570</v>
      </c>
      <c r="D425" s="31">
        <v>46142</v>
      </c>
      <c r="E425" s="30">
        <v>1266</v>
      </c>
      <c r="F425" s="30">
        <v>0</v>
      </c>
      <c r="G425" s="32">
        <v>-29702</v>
      </c>
      <c r="H425" s="30">
        <v>-32085954026</v>
      </c>
      <c r="I425" s="30" t="s">
        <v>979</v>
      </c>
      <c r="J425" s="30" t="s">
        <v>720</v>
      </c>
      <c r="K425" s="30" t="s">
        <v>29</v>
      </c>
      <c r="L425" s="30" t="s">
        <v>194</v>
      </c>
      <c r="M425" s="30" t="s">
        <v>195</v>
      </c>
      <c r="N425" s="30" t="s">
        <v>724</v>
      </c>
      <c r="O425" s="30">
        <v>-14.97</v>
      </c>
      <c r="P425" s="30">
        <v>1984.13</v>
      </c>
      <c r="Q425" s="30" t="s">
        <v>168</v>
      </c>
      <c r="R425" s="30" t="s">
        <v>169</v>
      </c>
      <c r="S425" s="30"/>
      <c r="T425" s="30"/>
      <c r="U425" s="30"/>
      <c r="V425" s="30" t="s">
        <v>172</v>
      </c>
      <c r="W425" s="30" t="s">
        <v>282</v>
      </c>
      <c r="X425" s="30" t="s">
        <v>228</v>
      </c>
      <c r="Y425" s="30" t="s">
        <v>978</v>
      </c>
      <c r="Z425" s="30">
        <v>10</v>
      </c>
      <c r="AA425" s="30" t="s">
        <v>575</v>
      </c>
      <c r="AB425" s="30">
        <v>11</v>
      </c>
      <c r="AC425" s="30" t="s">
        <v>177</v>
      </c>
      <c r="AD425" s="30" t="s">
        <v>178</v>
      </c>
      <c r="AE425" s="30" t="s">
        <v>8</v>
      </c>
      <c r="AF425" s="30" t="s">
        <v>28</v>
      </c>
      <c r="AG425" s="30" t="s">
        <v>29</v>
      </c>
      <c r="AH425" s="30" t="s">
        <v>7</v>
      </c>
      <c r="AI425" s="30"/>
    </row>
    <row r="426" spans="1:35" x14ac:dyDescent="0.3">
      <c r="A426" s="30">
        <v>250</v>
      </c>
      <c r="B426" s="30" t="s">
        <v>569</v>
      </c>
      <c r="C426" s="30" t="s">
        <v>570</v>
      </c>
      <c r="D426" s="31">
        <v>46142</v>
      </c>
      <c r="E426" s="30">
        <v>1266</v>
      </c>
      <c r="F426" s="30">
        <v>0</v>
      </c>
      <c r="G426" s="32">
        <v>-22863185</v>
      </c>
      <c r="H426" s="30">
        <v>-32108817211</v>
      </c>
      <c r="I426" s="30" t="s">
        <v>980</v>
      </c>
      <c r="J426" s="30" t="s">
        <v>720</v>
      </c>
      <c r="K426" s="30" t="s">
        <v>29</v>
      </c>
      <c r="L426" s="30" t="s">
        <v>194</v>
      </c>
      <c r="M426" s="30" t="s">
        <v>195</v>
      </c>
      <c r="N426" s="30" t="s">
        <v>397</v>
      </c>
      <c r="O426" s="30">
        <v>-15379.1</v>
      </c>
      <c r="P426" s="30">
        <v>1486.64</v>
      </c>
      <c r="Q426" s="30" t="s">
        <v>168</v>
      </c>
      <c r="R426" s="30" t="s">
        <v>169</v>
      </c>
      <c r="S426" s="30"/>
      <c r="T426" s="30"/>
      <c r="U426" s="30"/>
      <c r="V426" s="30" t="s">
        <v>172</v>
      </c>
      <c r="W426" s="30" t="s">
        <v>282</v>
      </c>
      <c r="X426" s="30" t="s">
        <v>228</v>
      </c>
      <c r="Y426" s="30" t="s">
        <v>978</v>
      </c>
      <c r="Z426" s="30">
        <v>11</v>
      </c>
      <c r="AA426" s="30" t="s">
        <v>575</v>
      </c>
      <c r="AB426" s="30">
        <v>11</v>
      </c>
      <c r="AC426" s="30" t="s">
        <v>177</v>
      </c>
      <c r="AD426" s="30" t="s">
        <v>178</v>
      </c>
      <c r="AE426" s="30" t="s">
        <v>8</v>
      </c>
      <c r="AF426" s="30" t="s">
        <v>28</v>
      </c>
      <c r="AG426" s="30" t="s">
        <v>29</v>
      </c>
      <c r="AH426" s="30" t="s">
        <v>7</v>
      </c>
      <c r="AI426" s="30"/>
    </row>
    <row r="427" spans="1:35" x14ac:dyDescent="0.3">
      <c r="A427" s="30">
        <v>251</v>
      </c>
      <c r="B427" s="30" t="s">
        <v>569</v>
      </c>
      <c r="C427" s="30" t="s">
        <v>570</v>
      </c>
      <c r="D427" s="31">
        <v>46142</v>
      </c>
      <c r="E427" s="30">
        <v>1266</v>
      </c>
      <c r="F427" s="30">
        <v>0</v>
      </c>
      <c r="G427" s="32">
        <v>-688570</v>
      </c>
      <c r="H427" s="30">
        <v>-32109505781</v>
      </c>
      <c r="I427" s="30" t="s">
        <v>981</v>
      </c>
      <c r="J427" s="30" t="s">
        <v>720</v>
      </c>
      <c r="K427" s="30" t="s">
        <v>29</v>
      </c>
      <c r="L427" s="30" t="s">
        <v>194</v>
      </c>
      <c r="M427" s="30" t="s">
        <v>195</v>
      </c>
      <c r="N427" s="30" t="s">
        <v>667</v>
      </c>
      <c r="O427" s="30">
        <v>-73511.820000000007</v>
      </c>
      <c r="P427" s="30">
        <v>9.3667999999999996</v>
      </c>
      <c r="Q427" s="30" t="s">
        <v>168</v>
      </c>
      <c r="R427" s="30" t="s">
        <v>169</v>
      </c>
      <c r="S427" s="30"/>
      <c r="T427" s="30"/>
      <c r="U427" s="30"/>
      <c r="V427" s="30" t="s">
        <v>172</v>
      </c>
      <c r="W427" s="30" t="s">
        <v>282</v>
      </c>
      <c r="X427" s="30" t="s">
        <v>228</v>
      </c>
      <c r="Y427" s="30" t="s">
        <v>978</v>
      </c>
      <c r="Z427" s="30">
        <v>12</v>
      </c>
      <c r="AA427" s="30" t="s">
        <v>575</v>
      </c>
      <c r="AB427" s="30">
        <v>11</v>
      </c>
      <c r="AC427" s="30" t="s">
        <v>177</v>
      </c>
      <c r="AD427" s="30" t="s">
        <v>178</v>
      </c>
      <c r="AE427" s="30" t="s">
        <v>8</v>
      </c>
      <c r="AF427" s="30" t="s">
        <v>28</v>
      </c>
      <c r="AG427" s="30" t="s">
        <v>29</v>
      </c>
      <c r="AH427" s="30" t="s">
        <v>7</v>
      </c>
      <c r="AI427" s="30"/>
    </row>
    <row r="428" spans="1:35" x14ac:dyDescent="0.3">
      <c r="A428" s="30">
        <v>252</v>
      </c>
      <c r="B428" s="30" t="s">
        <v>569</v>
      </c>
      <c r="C428" s="30" t="s">
        <v>570</v>
      </c>
      <c r="D428" s="31">
        <v>46142</v>
      </c>
      <c r="E428" s="30">
        <v>1300</v>
      </c>
      <c r="F428" s="30">
        <v>0</v>
      </c>
      <c r="G428" s="32">
        <v>-112526087</v>
      </c>
      <c r="H428" s="30">
        <v>-32222031868</v>
      </c>
      <c r="I428" s="30" t="s">
        <v>982</v>
      </c>
      <c r="J428" s="30" t="s">
        <v>657</v>
      </c>
      <c r="K428" s="30" t="s">
        <v>658</v>
      </c>
      <c r="L428" s="30" t="s">
        <v>194</v>
      </c>
      <c r="M428" s="30" t="s">
        <v>195</v>
      </c>
      <c r="N428" s="30" t="s">
        <v>397</v>
      </c>
      <c r="O428" s="30">
        <v>-76683.990000000005</v>
      </c>
      <c r="P428" s="30">
        <v>1467.4</v>
      </c>
      <c r="Q428" s="30" t="s">
        <v>168</v>
      </c>
      <c r="R428" s="30" t="s">
        <v>169</v>
      </c>
      <c r="S428" s="30"/>
      <c r="T428" s="30"/>
      <c r="U428" s="30"/>
      <c r="V428" s="30" t="s">
        <v>172</v>
      </c>
      <c r="W428" s="30" t="s">
        <v>245</v>
      </c>
      <c r="X428" s="30" t="s">
        <v>189</v>
      </c>
      <c r="Y428" s="30" t="s">
        <v>983</v>
      </c>
      <c r="Z428" s="30">
        <v>1</v>
      </c>
      <c r="AA428" s="30" t="s">
        <v>197</v>
      </c>
      <c r="AB428" s="30">
        <v>11</v>
      </c>
      <c r="AC428" s="30" t="s">
        <v>177</v>
      </c>
      <c r="AD428" s="30" t="s">
        <v>178</v>
      </c>
      <c r="AE428" s="30" t="s">
        <v>8</v>
      </c>
      <c r="AF428" s="30" t="s">
        <v>28</v>
      </c>
      <c r="AG428" s="30" t="s">
        <v>30</v>
      </c>
      <c r="AH428" s="30" t="s">
        <v>7</v>
      </c>
      <c r="AI428" s="30"/>
    </row>
    <row r="429" spans="1:35" x14ac:dyDescent="0.3">
      <c r="A429" s="30">
        <v>253</v>
      </c>
      <c r="B429" s="30" t="s">
        <v>569</v>
      </c>
      <c r="C429" s="30" t="s">
        <v>570</v>
      </c>
      <c r="D429" s="31">
        <v>46142</v>
      </c>
      <c r="E429" s="30">
        <v>812</v>
      </c>
      <c r="F429" s="30">
        <v>0</v>
      </c>
      <c r="G429" s="32">
        <v>124851273</v>
      </c>
      <c r="H429" s="30">
        <v>-32097180595</v>
      </c>
      <c r="I429" s="30" t="s">
        <v>984</v>
      </c>
      <c r="J429" s="30" t="s">
        <v>587</v>
      </c>
      <c r="K429" s="30" t="s">
        <v>588</v>
      </c>
      <c r="L429" s="30" t="s">
        <v>194</v>
      </c>
      <c r="M429" s="30" t="s">
        <v>195</v>
      </c>
      <c r="N429" s="30" t="s">
        <v>167</v>
      </c>
      <c r="O429" s="30">
        <v>124851273</v>
      </c>
      <c r="P429" s="30">
        <v>1</v>
      </c>
      <c r="Q429" s="30" t="s">
        <v>168</v>
      </c>
      <c r="R429" s="30" t="s">
        <v>169</v>
      </c>
      <c r="S429" s="30"/>
      <c r="T429" s="30"/>
      <c r="U429" s="30"/>
      <c r="V429" s="30" t="s">
        <v>172</v>
      </c>
      <c r="W429" s="30" t="s">
        <v>282</v>
      </c>
      <c r="X429" s="30" t="s">
        <v>589</v>
      </c>
      <c r="Y429" s="30" t="s">
        <v>985</v>
      </c>
      <c r="Z429" s="30">
        <v>89</v>
      </c>
      <c r="AA429" s="30" t="s">
        <v>575</v>
      </c>
      <c r="AB429" s="30">
        <v>11</v>
      </c>
      <c r="AC429" s="30" t="s">
        <v>177</v>
      </c>
      <c r="AD429" s="30" t="s">
        <v>178</v>
      </c>
      <c r="AE429" s="30" t="s">
        <v>8</v>
      </c>
      <c r="AF429" s="30" t="s">
        <v>38</v>
      </c>
      <c r="AG429" s="30" t="s">
        <v>14</v>
      </c>
      <c r="AH429" s="30" t="s">
        <v>7</v>
      </c>
      <c r="AI429" s="30"/>
    </row>
    <row r="430" spans="1:35" x14ac:dyDescent="0.3">
      <c r="A430" s="30">
        <v>254</v>
      </c>
      <c r="B430" s="30" t="s">
        <v>569</v>
      </c>
      <c r="C430" s="30" t="s">
        <v>570</v>
      </c>
      <c r="D430" s="31">
        <v>46142</v>
      </c>
      <c r="E430" s="30">
        <v>812</v>
      </c>
      <c r="F430" s="30">
        <v>0</v>
      </c>
      <c r="G430" s="32">
        <v>500378910</v>
      </c>
      <c r="H430" s="30">
        <v>-31596801685</v>
      </c>
      <c r="I430" s="30" t="s">
        <v>986</v>
      </c>
      <c r="J430" s="30" t="s">
        <v>587</v>
      </c>
      <c r="K430" s="30" t="s">
        <v>588</v>
      </c>
      <c r="L430" s="30" t="s">
        <v>194</v>
      </c>
      <c r="M430" s="30" t="s">
        <v>195</v>
      </c>
      <c r="N430" s="30" t="s">
        <v>167</v>
      </c>
      <c r="O430" s="30">
        <v>500378910</v>
      </c>
      <c r="P430" s="30">
        <v>1</v>
      </c>
      <c r="Q430" s="30" t="s">
        <v>168</v>
      </c>
      <c r="R430" s="30" t="s">
        <v>169</v>
      </c>
      <c r="S430" s="30"/>
      <c r="T430" s="30"/>
      <c r="U430" s="30"/>
      <c r="V430" s="30" t="s">
        <v>172</v>
      </c>
      <c r="W430" s="30" t="s">
        <v>282</v>
      </c>
      <c r="X430" s="30" t="s">
        <v>589</v>
      </c>
      <c r="Y430" s="30" t="s">
        <v>985</v>
      </c>
      <c r="Z430" s="30">
        <v>90</v>
      </c>
      <c r="AA430" s="30" t="s">
        <v>575</v>
      </c>
      <c r="AB430" s="30">
        <v>11</v>
      </c>
      <c r="AC430" s="30" t="s">
        <v>177</v>
      </c>
      <c r="AD430" s="30" t="s">
        <v>178</v>
      </c>
      <c r="AE430" s="30" t="s">
        <v>8</v>
      </c>
      <c r="AF430" s="30" t="s">
        <v>38</v>
      </c>
      <c r="AG430" s="30" t="s">
        <v>14</v>
      </c>
      <c r="AH430" s="30" t="s">
        <v>7</v>
      </c>
      <c r="AI430" s="30"/>
    </row>
    <row r="431" spans="1:35" x14ac:dyDescent="0.3">
      <c r="A431" s="30">
        <v>255</v>
      </c>
      <c r="B431" s="30" t="s">
        <v>569</v>
      </c>
      <c r="C431" s="30" t="s">
        <v>570</v>
      </c>
      <c r="D431" s="31">
        <v>46142</v>
      </c>
      <c r="E431" s="30">
        <v>812</v>
      </c>
      <c r="F431" s="30">
        <v>0</v>
      </c>
      <c r="G431" s="32">
        <v>162565364</v>
      </c>
      <c r="H431" s="30">
        <v>-31434236321</v>
      </c>
      <c r="I431" s="30" t="s">
        <v>987</v>
      </c>
      <c r="J431" s="30" t="s">
        <v>587</v>
      </c>
      <c r="K431" s="30" t="s">
        <v>588</v>
      </c>
      <c r="L431" s="30" t="s">
        <v>194</v>
      </c>
      <c r="M431" s="30" t="s">
        <v>195</v>
      </c>
      <c r="N431" s="30" t="s">
        <v>167</v>
      </c>
      <c r="O431" s="30">
        <v>162565364</v>
      </c>
      <c r="P431" s="30">
        <v>1</v>
      </c>
      <c r="Q431" s="30" t="s">
        <v>168</v>
      </c>
      <c r="R431" s="30" t="s">
        <v>169</v>
      </c>
      <c r="S431" s="30"/>
      <c r="T431" s="30"/>
      <c r="U431" s="30"/>
      <c r="V431" s="30" t="s">
        <v>172</v>
      </c>
      <c r="W431" s="30" t="s">
        <v>282</v>
      </c>
      <c r="X431" s="30" t="s">
        <v>589</v>
      </c>
      <c r="Y431" s="30" t="s">
        <v>985</v>
      </c>
      <c r="Z431" s="30">
        <v>91</v>
      </c>
      <c r="AA431" s="30" t="s">
        <v>575</v>
      </c>
      <c r="AB431" s="30">
        <v>11</v>
      </c>
      <c r="AC431" s="30" t="s">
        <v>177</v>
      </c>
      <c r="AD431" s="30" t="s">
        <v>178</v>
      </c>
      <c r="AE431" s="30" t="s">
        <v>8</v>
      </c>
      <c r="AF431" s="30" t="s">
        <v>38</v>
      </c>
      <c r="AG431" s="30" t="s">
        <v>14</v>
      </c>
      <c r="AH431" s="30" t="s">
        <v>7</v>
      </c>
      <c r="AI431" s="30"/>
    </row>
    <row r="432" spans="1:35" x14ac:dyDescent="0.3">
      <c r="A432" s="30">
        <v>256</v>
      </c>
      <c r="B432" s="30" t="s">
        <v>569</v>
      </c>
      <c r="C432" s="30" t="s">
        <v>570</v>
      </c>
      <c r="D432" s="31">
        <v>46142</v>
      </c>
      <c r="E432" s="30">
        <v>812</v>
      </c>
      <c r="F432" s="30">
        <v>0</v>
      </c>
      <c r="G432" s="32">
        <v>261364</v>
      </c>
      <c r="H432" s="30">
        <v>-31433974957</v>
      </c>
      <c r="I432" s="30" t="s">
        <v>988</v>
      </c>
      <c r="J432" s="30" t="s">
        <v>587</v>
      </c>
      <c r="K432" s="30" t="s">
        <v>588</v>
      </c>
      <c r="L432" s="30" t="s">
        <v>194</v>
      </c>
      <c r="M432" s="30" t="s">
        <v>195</v>
      </c>
      <c r="N432" s="30" t="s">
        <v>167</v>
      </c>
      <c r="O432" s="30">
        <v>261364</v>
      </c>
      <c r="P432" s="30">
        <v>1</v>
      </c>
      <c r="Q432" s="30" t="s">
        <v>168</v>
      </c>
      <c r="R432" s="30" t="s">
        <v>169</v>
      </c>
      <c r="S432" s="30"/>
      <c r="T432" s="30"/>
      <c r="U432" s="30"/>
      <c r="V432" s="30" t="s">
        <v>172</v>
      </c>
      <c r="W432" s="30" t="s">
        <v>282</v>
      </c>
      <c r="X432" s="30" t="s">
        <v>589</v>
      </c>
      <c r="Y432" s="30" t="s">
        <v>985</v>
      </c>
      <c r="Z432" s="30">
        <v>92</v>
      </c>
      <c r="AA432" s="30" t="s">
        <v>575</v>
      </c>
      <c r="AB432" s="30">
        <v>11</v>
      </c>
      <c r="AC432" s="30" t="s">
        <v>177</v>
      </c>
      <c r="AD432" s="30" t="s">
        <v>178</v>
      </c>
      <c r="AE432" s="30" t="s">
        <v>8</v>
      </c>
      <c r="AF432" s="30" t="s">
        <v>38</v>
      </c>
      <c r="AG432" s="30" t="s">
        <v>14</v>
      </c>
      <c r="AH432" s="30" t="s">
        <v>7</v>
      </c>
      <c r="AI432" s="30"/>
    </row>
    <row r="433" spans="1:35" x14ac:dyDescent="0.3">
      <c r="A433" s="30">
        <v>257</v>
      </c>
      <c r="B433" s="30" t="s">
        <v>569</v>
      </c>
      <c r="C433" s="30" t="s">
        <v>570</v>
      </c>
      <c r="D433" s="31">
        <v>46142</v>
      </c>
      <c r="E433" s="30">
        <v>812</v>
      </c>
      <c r="F433" s="30">
        <v>0</v>
      </c>
      <c r="G433" s="32">
        <v>62166364</v>
      </c>
      <c r="H433" s="30">
        <v>-31371808593</v>
      </c>
      <c r="I433" s="30" t="s">
        <v>989</v>
      </c>
      <c r="J433" s="30" t="s">
        <v>587</v>
      </c>
      <c r="K433" s="30" t="s">
        <v>588</v>
      </c>
      <c r="L433" s="30" t="s">
        <v>194</v>
      </c>
      <c r="M433" s="30" t="s">
        <v>195</v>
      </c>
      <c r="N433" s="30" t="s">
        <v>167</v>
      </c>
      <c r="O433" s="30">
        <v>62166364</v>
      </c>
      <c r="P433" s="30">
        <v>1</v>
      </c>
      <c r="Q433" s="30" t="s">
        <v>168</v>
      </c>
      <c r="R433" s="30" t="s">
        <v>169</v>
      </c>
      <c r="S433" s="30"/>
      <c r="T433" s="30"/>
      <c r="U433" s="30"/>
      <c r="V433" s="30" t="s">
        <v>172</v>
      </c>
      <c r="W433" s="30" t="s">
        <v>282</v>
      </c>
      <c r="X433" s="30" t="s">
        <v>589</v>
      </c>
      <c r="Y433" s="30" t="s">
        <v>985</v>
      </c>
      <c r="Z433" s="30">
        <v>93</v>
      </c>
      <c r="AA433" s="30" t="s">
        <v>575</v>
      </c>
      <c r="AB433" s="30">
        <v>11</v>
      </c>
      <c r="AC433" s="30" t="s">
        <v>177</v>
      </c>
      <c r="AD433" s="30" t="s">
        <v>178</v>
      </c>
      <c r="AE433" s="30" t="s">
        <v>8</v>
      </c>
      <c r="AF433" s="30" t="s">
        <v>38</v>
      </c>
      <c r="AG433" s="30" t="s">
        <v>14</v>
      </c>
      <c r="AH433" s="30" t="s">
        <v>7</v>
      </c>
      <c r="AI433" s="30"/>
    </row>
    <row r="434" spans="1:35" x14ac:dyDescent="0.3">
      <c r="A434" s="30">
        <v>258</v>
      </c>
      <c r="B434" s="30" t="s">
        <v>569</v>
      </c>
      <c r="C434" s="30" t="s">
        <v>570</v>
      </c>
      <c r="D434" s="31">
        <v>46142</v>
      </c>
      <c r="E434" s="30">
        <v>812</v>
      </c>
      <c r="F434" s="30">
        <v>0</v>
      </c>
      <c r="G434" s="32">
        <v>5275000</v>
      </c>
      <c r="H434" s="30">
        <v>-31366533593</v>
      </c>
      <c r="I434" s="30" t="s">
        <v>990</v>
      </c>
      <c r="J434" s="30" t="s">
        <v>587</v>
      </c>
      <c r="K434" s="30" t="s">
        <v>588</v>
      </c>
      <c r="L434" s="30" t="s">
        <v>194</v>
      </c>
      <c r="M434" s="30" t="s">
        <v>195</v>
      </c>
      <c r="N434" s="30" t="s">
        <v>167</v>
      </c>
      <c r="O434" s="30">
        <v>5275000</v>
      </c>
      <c r="P434" s="30">
        <v>1</v>
      </c>
      <c r="Q434" s="30" t="s">
        <v>168</v>
      </c>
      <c r="R434" s="30" t="s">
        <v>169</v>
      </c>
      <c r="S434" s="30"/>
      <c r="T434" s="30"/>
      <c r="U434" s="30"/>
      <c r="V434" s="30" t="s">
        <v>172</v>
      </c>
      <c r="W434" s="30" t="s">
        <v>282</v>
      </c>
      <c r="X434" s="30" t="s">
        <v>589</v>
      </c>
      <c r="Y434" s="30" t="s">
        <v>985</v>
      </c>
      <c r="Z434" s="30">
        <v>94</v>
      </c>
      <c r="AA434" s="30" t="s">
        <v>575</v>
      </c>
      <c r="AB434" s="30">
        <v>11</v>
      </c>
      <c r="AC434" s="30" t="s">
        <v>177</v>
      </c>
      <c r="AD434" s="30" t="s">
        <v>178</v>
      </c>
      <c r="AE434" s="30" t="s">
        <v>8</v>
      </c>
      <c r="AF434" s="30" t="s">
        <v>38</v>
      </c>
      <c r="AG434" s="30" t="s">
        <v>14</v>
      </c>
      <c r="AH434" s="30" t="s">
        <v>7</v>
      </c>
      <c r="AI434" s="30"/>
    </row>
    <row r="435" spans="1:35" x14ac:dyDescent="0.3">
      <c r="A435" s="30">
        <v>259</v>
      </c>
      <c r="B435" s="30" t="s">
        <v>569</v>
      </c>
      <c r="C435" s="30" t="s">
        <v>570</v>
      </c>
      <c r="D435" s="31">
        <v>46142</v>
      </c>
      <c r="E435" s="30">
        <v>812</v>
      </c>
      <c r="F435" s="30">
        <v>0</v>
      </c>
      <c r="G435" s="32">
        <v>1790000</v>
      </c>
      <c r="H435" s="30">
        <v>-31364743593</v>
      </c>
      <c r="I435" s="30" t="s">
        <v>991</v>
      </c>
      <c r="J435" s="30" t="s">
        <v>587</v>
      </c>
      <c r="K435" s="30" t="s">
        <v>588</v>
      </c>
      <c r="L435" s="30" t="s">
        <v>194</v>
      </c>
      <c r="M435" s="30" t="s">
        <v>195</v>
      </c>
      <c r="N435" s="30" t="s">
        <v>167</v>
      </c>
      <c r="O435" s="30">
        <v>1790000</v>
      </c>
      <c r="P435" s="30">
        <v>1</v>
      </c>
      <c r="Q435" s="30" t="s">
        <v>168</v>
      </c>
      <c r="R435" s="30" t="s">
        <v>169</v>
      </c>
      <c r="S435" s="30"/>
      <c r="T435" s="30"/>
      <c r="U435" s="30"/>
      <c r="V435" s="30" t="s">
        <v>172</v>
      </c>
      <c r="W435" s="30" t="s">
        <v>282</v>
      </c>
      <c r="X435" s="30" t="s">
        <v>589</v>
      </c>
      <c r="Y435" s="30" t="s">
        <v>985</v>
      </c>
      <c r="Z435" s="30">
        <v>95</v>
      </c>
      <c r="AA435" s="30" t="s">
        <v>575</v>
      </c>
      <c r="AB435" s="30">
        <v>11</v>
      </c>
      <c r="AC435" s="30" t="s">
        <v>177</v>
      </c>
      <c r="AD435" s="30" t="s">
        <v>178</v>
      </c>
      <c r="AE435" s="30" t="s">
        <v>8</v>
      </c>
      <c r="AF435" s="30" t="s">
        <v>38</v>
      </c>
      <c r="AG435" s="30" t="s">
        <v>14</v>
      </c>
      <c r="AH435" s="30" t="s">
        <v>7</v>
      </c>
      <c r="AI435" s="30"/>
    </row>
    <row r="436" spans="1:35" x14ac:dyDescent="0.3">
      <c r="A436" s="30">
        <v>260</v>
      </c>
      <c r="B436" s="30" t="s">
        <v>569</v>
      </c>
      <c r="C436" s="30" t="s">
        <v>570</v>
      </c>
      <c r="D436" s="31">
        <v>46142</v>
      </c>
      <c r="E436" s="30">
        <v>812</v>
      </c>
      <c r="F436" s="30">
        <v>0</v>
      </c>
      <c r="G436" s="32">
        <v>7662000</v>
      </c>
      <c r="H436" s="30">
        <v>-31357081593</v>
      </c>
      <c r="I436" s="30" t="s">
        <v>992</v>
      </c>
      <c r="J436" s="30" t="s">
        <v>587</v>
      </c>
      <c r="K436" s="30" t="s">
        <v>588</v>
      </c>
      <c r="L436" s="30" t="s">
        <v>194</v>
      </c>
      <c r="M436" s="30" t="s">
        <v>195</v>
      </c>
      <c r="N436" s="30" t="s">
        <v>167</v>
      </c>
      <c r="O436" s="30">
        <v>7662000</v>
      </c>
      <c r="P436" s="30">
        <v>1</v>
      </c>
      <c r="Q436" s="30" t="s">
        <v>168</v>
      </c>
      <c r="R436" s="30" t="s">
        <v>169</v>
      </c>
      <c r="S436" s="30"/>
      <c r="T436" s="30"/>
      <c r="U436" s="30"/>
      <c r="V436" s="30" t="s">
        <v>172</v>
      </c>
      <c r="W436" s="30" t="s">
        <v>282</v>
      </c>
      <c r="X436" s="30" t="s">
        <v>589</v>
      </c>
      <c r="Y436" s="30" t="s">
        <v>985</v>
      </c>
      <c r="Z436" s="30">
        <v>96</v>
      </c>
      <c r="AA436" s="30" t="s">
        <v>575</v>
      </c>
      <c r="AB436" s="30">
        <v>11</v>
      </c>
      <c r="AC436" s="30" t="s">
        <v>177</v>
      </c>
      <c r="AD436" s="30" t="s">
        <v>178</v>
      </c>
      <c r="AE436" s="30" t="s">
        <v>8</v>
      </c>
      <c r="AF436" s="30" t="s">
        <v>38</v>
      </c>
      <c r="AG436" s="30" t="s">
        <v>14</v>
      </c>
      <c r="AH436" s="30" t="s">
        <v>7</v>
      </c>
      <c r="AI436" s="30"/>
    </row>
    <row r="437" spans="1:35" x14ac:dyDescent="0.3">
      <c r="A437" s="30">
        <v>261</v>
      </c>
      <c r="B437" s="30" t="s">
        <v>569</v>
      </c>
      <c r="C437" s="30" t="s">
        <v>570</v>
      </c>
      <c r="D437" s="31">
        <v>46142</v>
      </c>
      <c r="E437" s="30">
        <v>812</v>
      </c>
      <c r="F437" s="30">
        <v>0</v>
      </c>
      <c r="G437" s="32">
        <v>70620000</v>
      </c>
      <c r="H437" s="30">
        <v>-31286461593</v>
      </c>
      <c r="I437" s="30" t="s">
        <v>993</v>
      </c>
      <c r="J437" s="30" t="s">
        <v>587</v>
      </c>
      <c r="K437" s="30" t="s">
        <v>588</v>
      </c>
      <c r="L437" s="30" t="s">
        <v>194</v>
      </c>
      <c r="M437" s="30" t="s">
        <v>195</v>
      </c>
      <c r="N437" s="30" t="s">
        <v>167</v>
      </c>
      <c r="O437" s="30">
        <v>70620000</v>
      </c>
      <c r="P437" s="30">
        <v>1</v>
      </c>
      <c r="Q437" s="30" t="s">
        <v>168</v>
      </c>
      <c r="R437" s="30" t="s">
        <v>169</v>
      </c>
      <c r="S437" s="30"/>
      <c r="T437" s="30"/>
      <c r="U437" s="30"/>
      <c r="V437" s="30" t="s">
        <v>172</v>
      </c>
      <c r="W437" s="30" t="s">
        <v>282</v>
      </c>
      <c r="X437" s="30" t="s">
        <v>589</v>
      </c>
      <c r="Y437" s="30" t="s">
        <v>985</v>
      </c>
      <c r="Z437" s="30">
        <v>97</v>
      </c>
      <c r="AA437" s="30" t="s">
        <v>575</v>
      </c>
      <c r="AB437" s="30">
        <v>11</v>
      </c>
      <c r="AC437" s="30" t="s">
        <v>177</v>
      </c>
      <c r="AD437" s="30" t="s">
        <v>178</v>
      </c>
      <c r="AE437" s="30" t="s">
        <v>8</v>
      </c>
      <c r="AF437" s="30" t="s">
        <v>38</v>
      </c>
      <c r="AG437" s="30" t="s">
        <v>14</v>
      </c>
      <c r="AH437" s="30" t="s">
        <v>7</v>
      </c>
      <c r="AI437" s="30"/>
    </row>
    <row r="438" spans="1:35" x14ac:dyDescent="0.3">
      <c r="A438" s="30">
        <v>262</v>
      </c>
      <c r="B438" s="30" t="s">
        <v>569</v>
      </c>
      <c r="C438" s="30" t="s">
        <v>570</v>
      </c>
      <c r="D438" s="31">
        <v>46142</v>
      </c>
      <c r="E438" s="30">
        <v>812</v>
      </c>
      <c r="F438" s="30">
        <v>0</v>
      </c>
      <c r="G438" s="32">
        <v>65080000</v>
      </c>
      <c r="H438" s="30">
        <v>-31221381593</v>
      </c>
      <c r="I438" s="30" t="s">
        <v>994</v>
      </c>
      <c r="J438" s="30" t="s">
        <v>587</v>
      </c>
      <c r="K438" s="30" t="s">
        <v>588</v>
      </c>
      <c r="L438" s="30" t="s">
        <v>194</v>
      </c>
      <c r="M438" s="30" t="s">
        <v>195</v>
      </c>
      <c r="N438" s="30" t="s">
        <v>167</v>
      </c>
      <c r="O438" s="30">
        <v>65080000</v>
      </c>
      <c r="P438" s="30">
        <v>1</v>
      </c>
      <c r="Q438" s="30" t="s">
        <v>168</v>
      </c>
      <c r="R438" s="30" t="s">
        <v>169</v>
      </c>
      <c r="S438" s="30"/>
      <c r="T438" s="30"/>
      <c r="U438" s="30"/>
      <c r="V438" s="30" t="s">
        <v>172</v>
      </c>
      <c r="W438" s="30" t="s">
        <v>282</v>
      </c>
      <c r="X438" s="30" t="s">
        <v>589</v>
      </c>
      <c r="Y438" s="30" t="s">
        <v>985</v>
      </c>
      <c r="Z438" s="30">
        <v>98</v>
      </c>
      <c r="AA438" s="30" t="s">
        <v>575</v>
      </c>
      <c r="AB438" s="30">
        <v>11</v>
      </c>
      <c r="AC438" s="30" t="s">
        <v>177</v>
      </c>
      <c r="AD438" s="30" t="s">
        <v>178</v>
      </c>
      <c r="AE438" s="30" t="s">
        <v>8</v>
      </c>
      <c r="AF438" s="30" t="s">
        <v>38</v>
      </c>
      <c r="AG438" s="30" t="s">
        <v>14</v>
      </c>
      <c r="AH438" s="30" t="s">
        <v>7</v>
      </c>
      <c r="AI438" s="30"/>
    </row>
    <row r="439" spans="1:35" x14ac:dyDescent="0.3">
      <c r="A439" s="30">
        <v>263</v>
      </c>
      <c r="B439" s="30" t="s">
        <v>569</v>
      </c>
      <c r="C439" s="30" t="s">
        <v>570</v>
      </c>
      <c r="D439" s="31">
        <v>46142</v>
      </c>
      <c r="E439" s="30">
        <v>812</v>
      </c>
      <c r="F439" s="30">
        <v>0</v>
      </c>
      <c r="G439" s="32">
        <v>101658728</v>
      </c>
      <c r="H439" s="30">
        <v>-31119722865</v>
      </c>
      <c r="I439" s="30" t="s">
        <v>995</v>
      </c>
      <c r="J439" s="30" t="s">
        <v>587</v>
      </c>
      <c r="K439" s="30" t="s">
        <v>588</v>
      </c>
      <c r="L439" s="30" t="s">
        <v>194</v>
      </c>
      <c r="M439" s="30" t="s">
        <v>195</v>
      </c>
      <c r="N439" s="30" t="s">
        <v>167</v>
      </c>
      <c r="O439" s="30">
        <v>101658728</v>
      </c>
      <c r="P439" s="30">
        <v>1</v>
      </c>
      <c r="Q439" s="30" t="s">
        <v>168</v>
      </c>
      <c r="R439" s="30" t="s">
        <v>169</v>
      </c>
      <c r="S439" s="30"/>
      <c r="T439" s="30"/>
      <c r="U439" s="30"/>
      <c r="V439" s="30" t="s">
        <v>172</v>
      </c>
      <c r="W439" s="30" t="s">
        <v>282</v>
      </c>
      <c r="X439" s="30" t="s">
        <v>589</v>
      </c>
      <c r="Y439" s="30" t="s">
        <v>985</v>
      </c>
      <c r="Z439" s="30">
        <v>99</v>
      </c>
      <c r="AA439" s="30" t="s">
        <v>575</v>
      </c>
      <c r="AB439" s="30">
        <v>11</v>
      </c>
      <c r="AC439" s="30" t="s">
        <v>177</v>
      </c>
      <c r="AD439" s="30" t="s">
        <v>178</v>
      </c>
      <c r="AE439" s="30" t="s">
        <v>8</v>
      </c>
      <c r="AF439" s="30" t="s">
        <v>38</v>
      </c>
      <c r="AG439" s="30" t="s">
        <v>14</v>
      </c>
      <c r="AH439" s="30" t="s">
        <v>7</v>
      </c>
      <c r="AI439" s="30"/>
    </row>
    <row r="440" spans="1:35" x14ac:dyDescent="0.3">
      <c r="A440" s="30">
        <v>264</v>
      </c>
      <c r="B440" s="30" t="s">
        <v>569</v>
      </c>
      <c r="C440" s="30" t="s">
        <v>570</v>
      </c>
      <c r="D440" s="31">
        <v>46142</v>
      </c>
      <c r="E440" s="30">
        <v>812</v>
      </c>
      <c r="F440" s="30">
        <v>0</v>
      </c>
      <c r="G440" s="32">
        <v>56771455</v>
      </c>
      <c r="H440" s="30">
        <v>-31062951410</v>
      </c>
      <c r="I440" s="30" t="s">
        <v>996</v>
      </c>
      <c r="J440" s="30" t="s">
        <v>587</v>
      </c>
      <c r="K440" s="30" t="s">
        <v>588</v>
      </c>
      <c r="L440" s="30" t="s">
        <v>194</v>
      </c>
      <c r="M440" s="30" t="s">
        <v>195</v>
      </c>
      <c r="N440" s="30" t="s">
        <v>167</v>
      </c>
      <c r="O440" s="30">
        <v>56771455</v>
      </c>
      <c r="P440" s="30">
        <v>1</v>
      </c>
      <c r="Q440" s="30" t="s">
        <v>168</v>
      </c>
      <c r="R440" s="30" t="s">
        <v>169</v>
      </c>
      <c r="S440" s="30"/>
      <c r="T440" s="30"/>
      <c r="U440" s="30"/>
      <c r="V440" s="30" t="s">
        <v>172</v>
      </c>
      <c r="W440" s="30" t="s">
        <v>282</v>
      </c>
      <c r="X440" s="30" t="s">
        <v>589</v>
      </c>
      <c r="Y440" s="30" t="s">
        <v>985</v>
      </c>
      <c r="Z440" s="30">
        <v>100</v>
      </c>
      <c r="AA440" s="30" t="s">
        <v>575</v>
      </c>
      <c r="AB440" s="30">
        <v>11</v>
      </c>
      <c r="AC440" s="30" t="s">
        <v>177</v>
      </c>
      <c r="AD440" s="30" t="s">
        <v>178</v>
      </c>
      <c r="AE440" s="30" t="s">
        <v>8</v>
      </c>
      <c r="AF440" s="30" t="s">
        <v>38</v>
      </c>
      <c r="AG440" s="30" t="s">
        <v>14</v>
      </c>
      <c r="AH440" s="30" t="s">
        <v>7</v>
      </c>
      <c r="AI440" s="30"/>
    </row>
    <row r="441" spans="1:35" x14ac:dyDescent="0.3">
      <c r="A441" s="30">
        <v>265</v>
      </c>
      <c r="B441" s="30" t="s">
        <v>569</v>
      </c>
      <c r="C441" s="30" t="s">
        <v>570</v>
      </c>
      <c r="D441" s="31">
        <v>46142</v>
      </c>
      <c r="E441" s="30">
        <v>833</v>
      </c>
      <c r="F441" s="30">
        <v>0</v>
      </c>
      <c r="G441" s="32">
        <v>113787364</v>
      </c>
      <c r="H441" s="30">
        <v>-30949164046</v>
      </c>
      <c r="I441" s="30" t="s">
        <v>997</v>
      </c>
      <c r="J441" s="30" t="s">
        <v>606</v>
      </c>
      <c r="K441" s="30" t="s">
        <v>607</v>
      </c>
      <c r="L441" s="30" t="s">
        <v>194</v>
      </c>
      <c r="M441" s="30" t="s">
        <v>195</v>
      </c>
      <c r="N441" s="30" t="s">
        <v>167</v>
      </c>
      <c r="O441" s="30">
        <v>113787364</v>
      </c>
      <c r="P441" s="30">
        <v>1</v>
      </c>
      <c r="Q441" s="30" t="s">
        <v>168</v>
      </c>
      <c r="R441" s="30" t="s">
        <v>169</v>
      </c>
      <c r="S441" s="30"/>
      <c r="T441" s="30"/>
      <c r="U441" s="30"/>
      <c r="V441" s="30" t="s">
        <v>172</v>
      </c>
      <c r="W441" s="30" t="s">
        <v>282</v>
      </c>
      <c r="X441" s="30" t="s">
        <v>589</v>
      </c>
      <c r="Y441" s="30" t="s">
        <v>998</v>
      </c>
      <c r="Z441" s="30">
        <v>7</v>
      </c>
      <c r="AA441" s="30" t="s">
        <v>575</v>
      </c>
      <c r="AB441" s="30">
        <v>11</v>
      </c>
      <c r="AC441" s="30" t="s">
        <v>177</v>
      </c>
      <c r="AD441" s="30" t="s">
        <v>178</v>
      </c>
      <c r="AE441" s="30" t="s">
        <v>8</v>
      </c>
      <c r="AF441" s="30" t="s">
        <v>38</v>
      </c>
      <c r="AG441" s="30" t="s">
        <v>44</v>
      </c>
      <c r="AH441" s="30" t="s">
        <v>7</v>
      </c>
      <c r="AI441" s="30"/>
    </row>
    <row r="442" spans="1:35" x14ac:dyDescent="0.3">
      <c r="A442" s="30">
        <v>266</v>
      </c>
      <c r="B442" s="30" t="s">
        <v>569</v>
      </c>
      <c r="C442" s="30" t="s">
        <v>570</v>
      </c>
      <c r="D442" s="31">
        <v>46142</v>
      </c>
      <c r="E442" s="30">
        <v>834</v>
      </c>
      <c r="F442" s="30">
        <v>0</v>
      </c>
      <c r="G442" s="32">
        <v>79107273</v>
      </c>
      <c r="H442" s="30">
        <v>-30870056773</v>
      </c>
      <c r="I442" s="30" t="s">
        <v>999</v>
      </c>
      <c r="J442" s="30" t="s">
        <v>610</v>
      </c>
      <c r="K442" s="30" t="s">
        <v>611</v>
      </c>
      <c r="L442" s="30" t="s">
        <v>194</v>
      </c>
      <c r="M442" s="30" t="s">
        <v>195</v>
      </c>
      <c r="N442" s="30" t="s">
        <v>167</v>
      </c>
      <c r="O442" s="30">
        <v>79107273</v>
      </c>
      <c r="P442" s="30">
        <v>1</v>
      </c>
      <c r="Q442" s="30" t="s">
        <v>612</v>
      </c>
      <c r="R442" s="30" t="s">
        <v>613</v>
      </c>
      <c r="S442" s="30"/>
      <c r="T442" s="30"/>
      <c r="U442" s="30"/>
      <c r="V442" s="30" t="s">
        <v>172</v>
      </c>
      <c r="W442" s="30" t="s">
        <v>282</v>
      </c>
      <c r="X442" s="30" t="s">
        <v>589</v>
      </c>
      <c r="Y442" s="30" t="s">
        <v>1000</v>
      </c>
      <c r="Z442" s="30">
        <v>4</v>
      </c>
      <c r="AA442" s="30" t="s">
        <v>575</v>
      </c>
      <c r="AB442" s="30">
        <v>11</v>
      </c>
      <c r="AC442" s="30" t="s">
        <v>177</v>
      </c>
      <c r="AD442" s="30" t="s">
        <v>178</v>
      </c>
      <c r="AE442" s="30" t="s">
        <v>8</v>
      </c>
      <c r="AF442" s="30" t="s">
        <v>38</v>
      </c>
      <c r="AG442" s="30" t="s">
        <v>43</v>
      </c>
      <c r="AH442" s="30" t="s">
        <v>7</v>
      </c>
      <c r="AI442" s="30"/>
    </row>
    <row r="443" spans="1:35" x14ac:dyDescent="0.3">
      <c r="A443" s="30">
        <v>267</v>
      </c>
      <c r="B443" s="30" t="s">
        <v>569</v>
      </c>
      <c r="C443" s="30" t="s">
        <v>570</v>
      </c>
      <c r="D443" s="31">
        <v>46142</v>
      </c>
      <c r="E443" s="30">
        <v>834</v>
      </c>
      <c r="F443" s="30">
        <v>0</v>
      </c>
      <c r="G443" s="32">
        <v>131700819</v>
      </c>
      <c r="H443" s="30">
        <v>-30738355954</v>
      </c>
      <c r="I443" s="30" t="s">
        <v>1001</v>
      </c>
      <c r="J443" s="30" t="s">
        <v>610</v>
      </c>
      <c r="K443" s="30" t="s">
        <v>611</v>
      </c>
      <c r="L443" s="30" t="s">
        <v>194</v>
      </c>
      <c r="M443" s="30" t="s">
        <v>195</v>
      </c>
      <c r="N443" s="30" t="s">
        <v>167</v>
      </c>
      <c r="O443" s="30">
        <v>131700819</v>
      </c>
      <c r="P443" s="30">
        <v>1</v>
      </c>
      <c r="Q443" s="30" t="s">
        <v>616</v>
      </c>
      <c r="R443" s="30" t="s">
        <v>617</v>
      </c>
      <c r="S443" s="30"/>
      <c r="T443" s="30"/>
      <c r="U443" s="30"/>
      <c r="V443" s="30" t="s">
        <v>172</v>
      </c>
      <c r="W443" s="30" t="s">
        <v>282</v>
      </c>
      <c r="X443" s="30" t="s">
        <v>589</v>
      </c>
      <c r="Y443" s="30" t="s">
        <v>1000</v>
      </c>
      <c r="Z443" s="30">
        <v>10</v>
      </c>
      <c r="AA443" s="30" t="s">
        <v>575</v>
      </c>
      <c r="AB443" s="30">
        <v>11</v>
      </c>
      <c r="AC443" s="30" t="s">
        <v>177</v>
      </c>
      <c r="AD443" s="30" t="s">
        <v>178</v>
      </c>
      <c r="AE443" s="30" t="s">
        <v>8</v>
      </c>
      <c r="AF443" s="30" t="s">
        <v>38</v>
      </c>
      <c r="AG443" s="30" t="s">
        <v>43</v>
      </c>
      <c r="AH443" s="30" t="s">
        <v>7</v>
      </c>
      <c r="AI443" s="30"/>
    </row>
    <row r="444" spans="1:35" x14ac:dyDescent="0.3">
      <c r="A444" s="30">
        <v>268</v>
      </c>
      <c r="B444" s="30" t="s">
        <v>569</v>
      </c>
      <c r="C444" s="30" t="s">
        <v>570</v>
      </c>
      <c r="D444" s="31">
        <v>46142</v>
      </c>
      <c r="E444" s="30">
        <v>834</v>
      </c>
      <c r="F444" s="30">
        <v>0</v>
      </c>
      <c r="G444" s="32">
        <v>634468728</v>
      </c>
      <c r="H444" s="30">
        <v>-30103887226</v>
      </c>
      <c r="I444" s="30" t="s">
        <v>1002</v>
      </c>
      <c r="J444" s="30" t="s">
        <v>610</v>
      </c>
      <c r="K444" s="30" t="s">
        <v>611</v>
      </c>
      <c r="L444" s="30" t="s">
        <v>194</v>
      </c>
      <c r="M444" s="30" t="s">
        <v>195</v>
      </c>
      <c r="N444" s="30" t="s">
        <v>167</v>
      </c>
      <c r="O444" s="30">
        <v>634468728</v>
      </c>
      <c r="P444" s="30">
        <v>1</v>
      </c>
      <c r="Q444" s="30" t="s">
        <v>619</v>
      </c>
      <c r="R444" s="30" t="s">
        <v>620</v>
      </c>
      <c r="S444" s="30"/>
      <c r="T444" s="30"/>
      <c r="U444" s="30"/>
      <c r="V444" s="30" t="s">
        <v>172</v>
      </c>
      <c r="W444" s="30" t="s">
        <v>282</v>
      </c>
      <c r="X444" s="30" t="s">
        <v>589</v>
      </c>
      <c r="Y444" s="30" t="s">
        <v>1000</v>
      </c>
      <c r="Z444" s="30">
        <v>16</v>
      </c>
      <c r="AA444" s="30" t="s">
        <v>575</v>
      </c>
      <c r="AB444" s="30">
        <v>11</v>
      </c>
      <c r="AC444" s="30" t="s">
        <v>177</v>
      </c>
      <c r="AD444" s="30" t="s">
        <v>178</v>
      </c>
      <c r="AE444" s="30" t="s">
        <v>8</v>
      </c>
      <c r="AF444" s="30" t="s">
        <v>38</v>
      </c>
      <c r="AG444" s="30" t="s">
        <v>43</v>
      </c>
      <c r="AH444" s="30" t="s">
        <v>7</v>
      </c>
      <c r="AI444" s="30"/>
    </row>
    <row r="445" spans="1:35" x14ac:dyDescent="0.3">
      <c r="A445" s="30">
        <v>269</v>
      </c>
      <c r="B445" s="30" t="s">
        <v>569</v>
      </c>
      <c r="C445" s="30" t="s">
        <v>570</v>
      </c>
      <c r="D445" s="31">
        <v>46142</v>
      </c>
      <c r="E445" s="30">
        <v>834</v>
      </c>
      <c r="F445" s="30">
        <v>0</v>
      </c>
      <c r="G445" s="32">
        <v>211364</v>
      </c>
      <c r="H445" s="30">
        <v>-30103675862</v>
      </c>
      <c r="I445" s="30" t="s">
        <v>1003</v>
      </c>
      <c r="J445" s="30" t="s">
        <v>610</v>
      </c>
      <c r="K445" s="30" t="s">
        <v>611</v>
      </c>
      <c r="L445" s="30" t="s">
        <v>194</v>
      </c>
      <c r="M445" s="30" t="s">
        <v>195</v>
      </c>
      <c r="N445" s="30" t="s">
        <v>167</v>
      </c>
      <c r="O445" s="30">
        <v>211364</v>
      </c>
      <c r="P445" s="30">
        <v>1</v>
      </c>
      <c r="Q445" s="30" t="s">
        <v>622</v>
      </c>
      <c r="R445" s="30" t="s">
        <v>623</v>
      </c>
      <c r="S445" s="30"/>
      <c r="T445" s="30"/>
      <c r="U445" s="30"/>
      <c r="V445" s="30" t="s">
        <v>172</v>
      </c>
      <c r="W445" s="30" t="s">
        <v>282</v>
      </c>
      <c r="X445" s="30" t="s">
        <v>589</v>
      </c>
      <c r="Y445" s="30" t="s">
        <v>1000</v>
      </c>
      <c r="Z445" s="30">
        <v>22</v>
      </c>
      <c r="AA445" s="30" t="s">
        <v>575</v>
      </c>
      <c r="AB445" s="30">
        <v>11</v>
      </c>
      <c r="AC445" s="30" t="s">
        <v>177</v>
      </c>
      <c r="AD445" s="30" t="s">
        <v>178</v>
      </c>
      <c r="AE445" s="30" t="s">
        <v>8</v>
      </c>
      <c r="AF445" s="30" t="s">
        <v>38</v>
      </c>
      <c r="AG445" s="30" t="s">
        <v>43</v>
      </c>
      <c r="AH445" s="30" t="s">
        <v>7</v>
      </c>
      <c r="AI445" s="30"/>
    </row>
    <row r="446" spans="1:35" x14ac:dyDescent="0.3">
      <c r="A446" s="30">
        <v>270</v>
      </c>
      <c r="B446" s="30" t="s">
        <v>569</v>
      </c>
      <c r="C446" s="30" t="s">
        <v>570</v>
      </c>
      <c r="D446" s="31">
        <v>46142</v>
      </c>
      <c r="E446" s="30">
        <v>835</v>
      </c>
      <c r="F446" s="30">
        <v>0</v>
      </c>
      <c r="G446" s="32">
        <v>85241491</v>
      </c>
      <c r="H446" s="30">
        <v>-30018434371</v>
      </c>
      <c r="I446" s="30" t="s">
        <v>1004</v>
      </c>
      <c r="J446" s="30" t="s">
        <v>646</v>
      </c>
      <c r="K446" s="30" t="s">
        <v>647</v>
      </c>
      <c r="L446" s="30" t="s">
        <v>194</v>
      </c>
      <c r="M446" s="30" t="s">
        <v>195</v>
      </c>
      <c r="N446" s="30" t="s">
        <v>167</v>
      </c>
      <c r="O446" s="30">
        <v>85241491</v>
      </c>
      <c r="P446" s="30">
        <v>1</v>
      </c>
      <c r="Q446" s="30" t="s">
        <v>168</v>
      </c>
      <c r="R446" s="30" t="s">
        <v>169</v>
      </c>
      <c r="S446" s="30"/>
      <c r="T446" s="30"/>
      <c r="U446" s="30"/>
      <c r="V446" s="30" t="s">
        <v>172</v>
      </c>
      <c r="W446" s="30" t="s">
        <v>282</v>
      </c>
      <c r="X446" s="30" t="s">
        <v>589</v>
      </c>
      <c r="Y446" s="30" t="s">
        <v>1005</v>
      </c>
      <c r="Z446" s="30">
        <v>3</v>
      </c>
      <c r="AA446" s="30" t="s">
        <v>575</v>
      </c>
      <c r="AB446" s="30">
        <v>11</v>
      </c>
      <c r="AC446" s="30" t="s">
        <v>177</v>
      </c>
      <c r="AD446" s="30" t="s">
        <v>178</v>
      </c>
      <c r="AE446" s="30" t="s">
        <v>8</v>
      </c>
      <c r="AF446" s="30" t="s">
        <v>45</v>
      </c>
      <c r="AG446" s="30" t="s">
        <v>49</v>
      </c>
      <c r="AH446" s="30" t="s">
        <v>7</v>
      </c>
      <c r="AI446" s="30" t="s">
        <v>50</v>
      </c>
    </row>
    <row r="447" spans="1:35" x14ac:dyDescent="0.3">
      <c r="A447" s="30">
        <v>271</v>
      </c>
      <c r="B447" s="30" t="s">
        <v>569</v>
      </c>
      <c r="C447" s="30" t="s">
        <v>570</v>
      </c>
      <c r="D447" s="31">
        <v>46142</v>
      </c>
      <c r="E447" s="30">
        <v>1307</v>
      </c>
      <c r="F447" s="30">
        <v>0</v>
      </c>
      <c r="G447" s="32">
        <v>6718531772</v>
      </c>
      <c r="H447" s="30">
        <v>-23299902599</v>
      </c>
      <c r="I447" s="30" t="s">
        <v>1006</v>
      </c>
      <c r="J447" s="30" t="s">
        <v>675</v>
      </c>
      <c r="K447" s="30" t="s">
        <v>676</v>
      </c>
      <c r="L447" s="30" t="s">
        <v>194</v>
      </c>
      <c r="M447" s="30" t="s">
        <v>195</v>
      </c>
      <c r="N447" s="30" t="s">
        <v>167</v>
      </c>
      <c r="O447" s="30">
        <v>6718531772</v>
      </c>
      <c r="P447" s="30">
        <v>1</v>
      </c>
      <c r="Q447" s="30" t="s">
        <v>168</v>
      </c>
      <c r="R447" s="30" t="s">
        <v>169</v>
      </c>
      <c r="S447" s="30"/>
      <c r="T447" s="30"/>
      <c r="U447" s="30"/>
      <c r="V447" s="30" t="s">
        <v>172</v>
      </c>
      <c r="W447" s="30" t="s">
        <v>282</v>
      </c>
      <c r="X447" s="30" t="s">
        <v>228</v>
      </c>
      <c r="Y447" s="30" t="s">
        <v>1007</v>
      </c>
      <c r="Z447" s="30">
        <v>5</v>
      </c>
      <c r="AA447" s="30" t="s">
        <v>575</v>
      </c>
      <c r="AB447" s="30">
        <v>11</v>
      </c>
      <c r="AC447" s="30" t="s">
        <v>177</v>
      </c>
      <c r="AD447" s="30" t="s">
        <v>178</v>
      </c>
      <c r="AE447" s="30" t="s">
        <v>8</v>
      </c>
      <c r="AF447" s="30" t="s">
        <v>28</v>
      </c>
      <c r="AG447" s="30" t="s">
        <v>10</v>
      </c>
      <c r="AH447" s="30" t="s">
        <v>7</v>
      </c>
      <c r="AI447" s="30"/>
    </row>
    <row r="448" spans="1:35" x14ac:dyDescent="0.3">
      <c r="A448" s="30">
        <v>272</v>
      </c>
      <c r="B448" s="30" t="s">
        <v>569</v>
      </c>
      <c r="C448" s="30" t="s">
        <v>570</v>
      </c>
      <c r="D448" s="31">
        <v>46142</v>
      </c>
      <c r="E448" s="30">
        <v>1307</v>
      </c>
      <c r="F448" s="30">
        <v>0</v>
      </c>
      <c r="G448" s="32">
        <v>882307341</v>
      </c>
      <c r="H448" s="30">
        <v>-22417595258</v>
      </c>
      <c r="I448" s="30" t="s">
        <v>1008</v>
      </c>
      <c r="J448" s="30" t="s">
        <v>675</v>
      </c>
      <c r="K448" s="30" t="s">
        <v>676</v>
      </c>
      <c r="L448" s="30" t="s">
        <v>194</v>
      </c>
      <c r="M448" s="30" t="s">
        <v>195</v>
      </c>
      <c r="N448" s="30" t="s">
        <v>167</v>
      </c>
      <c r="O448" s="30">
        <v>882307341</v>
      </c>
      <c r="P448" s="30">
        <v>1</v>
      </c>
      <c r="Q448" s="30" t="s">
        <v>168</v>
      </c>
      <c r="R448" s="30" t="s">
        <v>169</v>
      </c>
      <c r="S448" s="30"/>
      <c r="T448" s="30"/>
      <c r="U448" s="30"/>
      <c r="V448" s="30" t="s">
        <v>172</v>
      </c>
      <c r="W448" s="30" t="s">
        <v>282</v>
      </c>
      <c r="X448" s="30" t="s">
        <v>228</v>
      </c>
      <c r="Y448" s="30" t="s">
        <v>1007</v>
      </c>
      <c r="Z448" s="30">
        <v>6</v>
      </c>
      <c r="AA448" s="30" t="s">
        <v>575</v>
      </c>
      <c r="AB448" s="30">
        <v>11</v>
      </c>
      <c r="AC448" s="30" t="s">
        <v>177</v>
      </c>
      <c r="AD448" s="30" t="s">
        <v>178</v>
      </c>
      <c r="AE448" s="30" t="s">
        <v>8</v>
      </c>
      <c r="AF448" s="30" t="s">
        <v>28</v>
      </c>
      <c r="AG448" s="30" t="s">
        <v>10</v>
      </c>
      <c r="AH448" s="30" t="s">
        <v>7</v>
      </c>
      <c r="AI448" s="30"/>
    </row>
    <row r="449" spans="1:35" x14ac:dyDescent="0.3">
      <c r="A449" s="30">
        <v>273</v>
      </c>
      <c r="B449" s="30" t="s">
        <v>569</v>
      </c>
      <c r="C449" s="30" t="s">
        <v>570</v>
      </c>
      <c r="D449" s="31">
        <v>46142</v>
      </c>
      <c r="E449" s="30">
        <v>1307</v>
      </c>
      <c r="F449" s="30">
        <v>0</v>
      </c>
      <c r="G449" s="32">
        <v>8379001375</v>
      </c>
      <c r="H449" s="30">
        <v>-14038593883</v>
      </c>
      <c r="I449" s="30" t="s">
        <v>1009</v>
      </c>
      <c r="J449" s="30" t="s">
        <v>675</v>
      </c>
      <c r="K449" s="30" t="s">
        <v>676</v>
      </c>
      <c r="L449" s="30" t="s">
        <v>194</v>
      </c>
      <c r="M449" s="30" t="s">
        <v>195</v>
      </c>
      <c r="N449" s="30" t="s">
        <v>167</v>
      </c>
      <c r="O449" s="30">
        <v>8379001375</v>
      </c>
      <c r="P449" s="30">
        <v>1</v>
      </c>
      <c r="Q449" s="30" t="s">
        <v>168</v>
      </c>
      <c r="R449" s="30" t="s">
        <v>169</v>
      </c>
      <c r="S449" s="30"/>
      <c r="T449" s="30"/>
      <c r="U449" s="30"/>
      <c r="V449" s="30" t="s">
        <v>172</v>
      </c>
      <c r="W449" s="30" t="s">
        <v>282</v>
      </c>
      <c r="X449" s="30" t="s">
        <v>228</v>
      </c>
      <c r="Y449" s="30" t="s">
        <v>1007</v>
      </c>
      <c r="Z449" s="30">
        <v>7</v>
      </c>
      <c r="AA449" s="30" t="s">
        <v>575</v>
      </c>
      <c r="AB449" s="30">
        <v>11</v>
      </c>
      <c r="AC449" s="30" t="s">
        <v>177</v>
      </c>
      <c r="AD449" s="30" t="s">
        <v>178</v>
      </c>
      <c r="AE449" s="30" t="s">
        <v>8</v>
      </c>
      <c r="AF449" s="30" t="s">
        <v>28</v>
      </c>
      <c r="AG449" s="30" t="s">
        <v>10</v>
      </c>
      <c r="AH449" s="30" t="s">
        <v>7</v>
      </c>
      <c r="AI449" s="30"/>
    </row>
    <row r="450" spans="1:35" x14ac:dyDescent="0.3">
      <c r="A450" s="30">
        <v>274</v>
      </c>
      <c r="B450" s="30" t="s">
        <v>569</v>
      </c>
      <c r="C450" s="30" t="s">
        <v>570</v>
      </c>
      <c r="D450" s="31">
        <v>46142</v>
      </c>
      <c r="E450" s="30">
        <v>1313</v>
      </c>
      <c r="F450" s="30">
        <v>0</v>
      </c>
      <c r="G450" s="32">
        <v>4171690689</v>
      </c>
      <c r="H450" s="30">
        <v>-9866903194</v>
      </c>
      <c r="I450" s="30" t="s">
        <v>1010</v>
      </c>
      <c r="J450" s="30" t="s">
        <v>572</v>
      </c>
      <c r="K450" s="30" t="s">
        <v>573</v>
      </c>
      <c r="L450" s="30" t="s">
        <v>194</v>
      </c>
      <c r="M450" s="30" t="s">
        <v>195</v>
      </c>
      <c r="N450" s="30" t="s">
        <v>397</v>
      </c>
      <c r="O450" s="30">
        <v>2804705.35</v>
      </c>
      <c r="P450" s="30">
        <v>1487.39</v>
      </c>
      <c r="Q450" s="30" t="s">
        <v>168</v>
      </c>
      <c r="R450" s="30" t="s">
        <v>169</v>
      </c>
      <c r="S450" s="30"/>
      <c r="T450" s="30"/>
      <c r="U450" s="30"/>
      <c r="V450" s="30" t="s">
        <v>172</v>
      </c>
      <c r="W450" s="30" t="s">
        <v>282</v>
      </c>
      <c r="X450" s="30" t="s">
        <v>228</v>
      </c>
      <c r="Y450" s="30" t="s">
        <v>1011</v>
      </c>
      <c r="Z450" s="30">
        <v>7</v>
      </c>
      <c r="AA450" s="30" t="s">
        <v>575</v>
      </c>
      <c r="AB450" s="30">
        <v>11</v>
      </c>
      <c r="AC450" s="30" t="s">
        <v>177</v>
      </c>
      <c r="AD450" s="30" t="s">
        <v>178</v>
      </c>
      <c r="AE450" s="30" t="s">
        <v>8</v>
      </c>
      <c r="AF450" s="30" t="s">
        <v>28</v>
      </c>
      <c r="AG450" s="30" t="s">
        <v>9</v>
      </c>
      <c r="AH450" s="30" t="s">
        <v>7</v>
      </c>
      <c r="AI450" s="30"/>
    </row>
    <row r="451" spans="1:35" x14ac:dyDescent="0.3">
      <c r="A451" s="30">
        <v>275</v>
      </c>
      <c r="B451" s="30" t="s">
        <v>569</v>
      </c>
      <c r="C451" s="30" t="s">
        <v>570</v>
      </c>
      <c r="D451" s="31">
        <v>46142</v>
      </c>
      <c r="E451" s="30">
        <v>1313</v>
      </c>
      <c r="F451" s="30">
        <v>0</v>
      </c>
      <c r="G451" s="32">
        <v>2321621031</v>
      </c>
      <c r="H451" s="30">
        <v>-7545282163</v>
      </c>
      <c r="I451" s="30" t="s">
        <v>1012</v>
      </c>
      <c r="J451" s="30" t="s">
        <v>572</v>
      </c>
      <c r="K451" s="30" t="s">
        <v>573</v>
      </c>
      <c r="L451" s="30" t="s">
        <v>194</v>
      </c>
      <c r="M451" s="30" t="s">
        <v>195</v>
      </c>
      <c r="N451" s="30" t="s">
        <v>397</v>
      </c>
      <c r="O451" s="30">
        <v>1560869.06</v>
      </c>
      <c r="P451" s="30">
        <v>1487.39</v>
      </c>
      <c r="Q451" s="30" t="s">
        <v>168</v>
      </c>
      <c r="R451" s="30" t="s">
        <v>169</v>
      </c>
      <c r="S451" s="30"/>
      <c r="T451" s="30"/>
      <c r="U451" s="30"/>
      <c r="V451" s="30" t="s">
        <v>172</v>
      </c>
      <c r="W451" s="30" t="s">
        <v>282</v>
      </c>
      <c r="X451" s="30" t="s">
        <v>228</v>
      </c>
      <c r="Y451" s="30" t="s">
        <v>1011</v>
      </c>
      <c r="Z451" s="30">
        <v>8</v>
      </c>
      <c r="AA451" s="30" t="s">
        <v>575</v>
      </c>
      <c r="AB451" s="30">
        <v>11</v>
      </c>
      <c r="AC451" s="30" t="s">
        <v>177</v>
      </c>
      <c r="AD451" s="30" t="s">
        <v>178</v>
      </c>
      <c r="AE451" s="30" t="s">
        <v>8</v>
      </c>
      <c r="AF451" s="30" t="s">
        <v>28</v>
      </c>
      <c r="AG451" s="30" t="s">
        <v>9</v>
      </c>
      <c r="AH451" s="30" t="s">
        <v>7</v>
      </c>
      <c r="AI451" s="30"/>
    </row>
    <row r="452" spans="1:35" x14ac:dyDescent="0.3">
      <c r="A452" s="30">
        <v>276</v>
      </c>
      <c r="B452" s="30" t="s">
        <v>569</v>
      </c>
      <c r="C452" s="30" t="s">
        <v>570</v>
      </c>
      <c r="D452" s="31">
        <v>46142</v>
      </c>
      <c r="E452" s="30">
        <v>1313</v>
      </c>
      <c r="F452" s="30">
        <v>0</v>
      </c>
      <c r="G452" s="32">
        <v>14925594082</v>
      </c>
      <c r="H452" s="30">
        <v>7380311919</v>
      </c>
      <c r="I452" s="30" t="s">
        <v>1013</v>
      </c>
      <c r="J452" s="30" t="s">
        <v>572</v>
      </c>
      <c r="K452" s="30" t="s">
        <v>573</v>
      </c>
      <c r="L452" s="30" t="s">
        <v>194</v>
      </c>
      <c r="M452" s="30" t="s">
        <v>195</v>
      </c>
      <c r="N452" s="30" t="s">
        <v>397</v>
      </c>
      <c r="O452" s="30">
        <v>10034754.890000001</v>
      </c>
      <c r="P452" s="30">
        <v>1487.39</v>
      </c>
      <c r="Q452" s="30" t="s">
        <v>168</v>
      </c>
      <c r="R452" s="30" t="s">
        <v>169</v>
      </c>
      <c r="S452" s="30"/>
      <c r="T452" s="30"/>
      <c r="U452" s="30"/>
      <c r="V452" s="30" t="s">
        <v>172</v>
      </c>
      <c r="W452" s="30" t="s">
        <v>282</v>
      </c>
      <c r="X452" s="30" t="s">
        <v>228</v>
      </c>
      <c r="Y452" s="30" t="s">
        <v>1011</v>
      </c>
      <c r="Z452" s="30">
        <v>9</v>
      </c>
      <c r="AA452" s="30" t="s">
        <v>575</v>
      </c>
      <c r="AB452" s="30">
        <v>11</v>
      </c>
      <c r="AC452" s="30" t="s">
        <v>177</v>
      </c>
      <c r="AD452" s="30" t="s">
        <v>178</v>
      </c>
      <c r="AE452" s="30" t="s">
        <v>8</v>
      </c>
      <c r="AF452" s="30" t="s">
        <v>28</v>
      </c>
      <c r="AG452" s="30" t="s">
        <v>9</v>
      </c>
      <c r="AH452" s="30" t="s">
        <v>7</v>
      </c>
      <c r="AI452" s="30"/>
    </row>
    <row r="453" spans="1:35" x14ac:dyDescent="0.3">
      <c r="A453" s="30">
        <v>277</v>
      </c>
      <c r="B453" s="30" t="s">
        <v>569</v>
      </c>
      <c r="C453" s="30" t="s">
        <v>570</v>
      </c>
      <c r="D453" s="31">
        <v>46142</v>
      </c>
      <c r="E453" s="30">
        <v>1308</v>
      </c>
      <c r="F453" s="30">
        <v>0</v>
      </c>
      <c r="G453" s="32">
        <v>857562505</v>
      </c>
      <c r="H453" s="30">
        <v>8237874424</v>
      </c>
      <c r="I453" s="30" t="s">
        <v>1014</v>
      </c>
      <c r="J453" s="30" t="s">
        <v>689</v>
      </c>
      <c r="K453" s="30" t="s">
        <v>690</v>
      </c>
      <c r="L453" s="30" t="s">
        <v>194</v>
      </c>
      <c r="M453" s="30" t="s">
        <v>195</v>
      </c>
      <c r="N453" s="30" t="s">
        <v>397</v>
      </c>
      <c r="O453" s="30">
        <v>576846.13</v>
      </c>
      <c r="P453" s="30">
        <v>1486.64</v>
      </c>
      <c r="Q453" s="30" t="s">
        <v>168</v>
      </c>
      <c r="R453" s="30" t="s">
        <v>169</v>
      </c>
      <c r="S453" s="30"/>
      <c r="T453" s="30"/>
      <c r="U453" s="30"/>
      <c r="V453" s="30" t="s">
        <v>172</v>
      </c>
      <c r="W453" s="30" t="s">
        <v>282</v>
      </c>
      <c r="X453" s="30" t="s">
        <v>228</v>
      </c>
      <c r="Y453" s="30" t="s">
        <v>1015</v>
      </c>
      <c r="Z453" s="30">
        <v>5</v>
      </c>
      <c r="AA453" s="30" t="s">
        <v>575</v>
      </c>
      <c r="AB453" s="30">
        <v>11</v>
      </c>
      <c r="AC453" s="30" t="s">
        <v>177</v>
      </c>
      <c r="AD453" s="30" t="s">
        <v>178</v>
      </c>
      <c r="AE453" s="30" t="s">
        <v>8</v>
      </c>
      <c r="AF453" s="30" t="s">
        <v>28</v>
      </c>
      <c r="AG453" s="30" t="s">
        <v>13</v>
      </c>
      <c r="AH453" s="30" t="s">
        <v>7</v>
      </c>
      <c r="AI453" s="30"/>
    </row>
    <row r="454" spans="1:35" x14ac:dyDescent="0.3">
      <c r="A454" s="30">
        <v>278</v>
      </c>
      <c r="B454" s="30" t="s">
        <v>569</v>
      </c>
      <c r="C454" s="30" t="s">
        <v>570</v>
      </c>
      <c r="D454" s="31">
        <v>46142</v>
      </c>
      <c r="E454" s="30">
        <v>831</v>
      </c>
      <c r="F454" s="30">
        <v>0</v>
      </c>
      <c r="G454" s="32">
        <v>13637</v>
      </c>
      <c r="H454" s="30">
        <v>8237888061</v>
      </c>
      <c r="I454" s="30" t="s">
        <v>1016</v>
      </c>
      <c r="J454" s="30" t="s">
        <v>602</v>
      </c>
      <c r="K454" s="30" t="s">
        <v>603</v>
      </c>
      <c r="L454" s="30" t="s">
        <v>194</v>
      </c>
      <c r="M454" s="30" t="s">
        <v>195</v>
      </c>
      <c r="N454" s="30" t="s">
        <v>167</v>
      </c>
      <c r="O454" s="30">
        <v>13637</v>
      </c>
      <c r="P454" s="30">
        <v>1</v>
      </c>
      <c r="Q454" s="30" t="s">
        <v>622</v>
      </c>
      <c r="R454" s="30" t="s">
        <v>623</v>
      </c>
      <c r="S454" s="30"/>
      <c r="T454" s="30"/>
      <c r="U454" s="30"/>
      <c r="V454" s="30" t="s">
        <v>172</v>
      </c>
      <c r="W454" s="30" t="s">
        <v>282</v>
      </c>
      <c r="X454" s="30" t="s">
        <v>589</v>
      </c>
      <c r="Y454" s="30" t="s">
        <v>1017</v>
      </c>
      <c r="Z454" s="30">
        <v>4</v>
      </c>
      <c r="AA454" s="30" t="s">
        <v>197</v>
      </c>
      <c r="AB454" s="30">
        <v>11</v>
      </c>
      <c r="AC454" s="30" t="s">
        <v>177</v>
      </c>
      <c r="AD454" s="30" t="s">
        <v>178</v>
      </c>
      <c r="AE454" s="30" t="s">
        <v>8</v>
      </c>
      <c r="AF454" s="30" t="s">
        <v>28</v>
      </c>
      <c r="AG454" s="30" t="s">
        <v>33</v>
      </c>
      <c r="AH454" s="30" t="s">
        <v>7</v>
      </c>
      <c r="AI454" s="30"/>
    </row>
    <row r="455" spans="1:35" x14ac:dyDescent="0.3">
      <c r="A455" s="30">
        <v>279</v>
      </c>
      <c r="B455" s="30" t="s">
        <v>569</v>
      </c>
      <c r="C455" s="30" t="s">
        <v>570</v>
      </c>
      <c r="D455" s="31">
        <v>46142</v>
      </c>
      <c r="E455" s="30">
        <v>825</v>
      </c>
      <c r="F455" s="30">
        <v>0</v>
      </c>
      <c r="G455" s="32">
        <v>18579569</v>
      </c>
      <c r="H455" s="30">
        <v>8256467630</v>
      </c>
      <c r="I455" s="30" t="s">
        <v>1018</v>
      </c>
      <c r="J455" s="30" t="s">
        <v>661</v>
      </c>
      <c r="K455" s="30" t="s">
        <v>662</v>
      </c>
      <c r="L455" s="30" t="s">
        <v>194</v>
      </c>
      <c r="M455" s="30" t="s">
        <v>195</v>
      </c>
      <c r="N455" s="30" t="s">
        <v>397</v>
      </c>
      <c r="O455" s="30">
        <v>12491.39</v>
      </c>
      <c r="P455" s="30">
        <v>1487.39</v>
      </c>
      <c r="Q455" s="30" t="s">
        <v>168</v>
      </c>
      <c r="R455" s="30" t="s">
        <v>169</v>
      </c>
      <c r="S455" s="30"/>
      <c r="T455" s="30"/>
      <c r="U455" s="30"/>
      <c r="V455" s="30" t="s">
        <v>172</v>
      </c>
      <c r="W455" s="30" t="s">
        <v>282</v>
      </c>
      <c r="X455" s="30" t="s">
        <v>589</v>
      </c>
      <c r="Y455" s="30" t="s">
        <v>1019</v>
      </c>
      <c r="Z455" s="30">
        <v>2</v>
      </c>
      <c r="AA455" s="30" t="s">
        <v>197</v>
      </c>
      <c r="AB455" s="30">
        <v>11</v>
      </c>
      <c r="AC455" s="30" t="s">
        <v>177</v>
      </c>
      <c r="AD455" s="30" t="s">
        <v>178</v>
      </c>
      <c r="AE455" s="30" t="s">
        <v>8</v>
      </c>
      <c r="AF455" s="30" t="s">
        <v>45</v>
      </c>
      <c r="AG455" s="30" t="s">
        <v>47</v>
      </c>
      <c r="AH455" s="30" t="s">
        <v>7</v>
      </c>
      <c r="AI455" s="30"/>
    </row>
    <row r="456" spans="1:35" x14ac:dyDescent="0.3">
      <c r="A456" s="30">
        <v>280</v>
      </c>
      <c r="B456" s="30" t="s">
        <v>569</v>
      </c>
      <c r="C456" s="30" t="s">
        <v>570</v>
      </c>
      <c r="D456" s="31">
        <v>46142</v>
      </c>
      <c r="E456" s="30">
        <v>807</v>
      </c>
      <c r="F456" s="30">
        <v>0</v>
      </c>
      <c r="G456" s="32">
        <v>6285</v>
      </c>
      <c r="H456" s="30">
        <v>8256473915</v>
      </c>
      <c r="I456" s="30" t="s">
        <v>1020</v>
      </c>
      <c r="J456" s="30" t="s">
        <v>665</v>
      </c>
      <c r="K456" s="30" t="s">
        <v>666</v>
      </c>
      <c r="L456" s="30" t="s">
        <v>194</v>
      </c>
      <c r="M456" s="30" t="s">
        <v>195</v>
      </c>
      <c r="N456" s="30" t="s">
        <v>667</v>
      </c>
      <c r="O456" s="30">
        <v>673</v>
      </c>
      <c r="P456" s="30">
        <v>9.3391999999999999</v>
      </c>
      <c r="Q456" s="30" t="s">
        <v>168</v>
      </c>
      <c r="R456" s="30" t="s">
        <v>169</v>
      </c>
      <c r="S456" s="30"/>
      <c r="T456" s="30"/>
      <c r="U456" s="30"/>
      <c r="V456" s="30" t="s">
        <v>172</v>
      </c>
      <c r="W456" s="30" t="s">
        <v>282</v>
      </c>
      <c r="X456" s="30" t="s">
        <v>589</v>
      </c>
      <c r="Y456" s="30" t="s">
        <v>1021</v>
      </c>
      <c r="Z456" s="30">
        <v>1</v>
      </c>
      <c r="AA456" s="30" t="s">
        <v>197</v>
      </c>
      <c r="AB456" s="30">
        <v>11</v>
      </c>
      <c r="AC456" s="30" t="s">
        <v>177</v>
      </c>
      <c r="AD456" s="30" t="s">
        <v>178</v>
      </c>
      <c r="AE456" s="30" t="s">
        <v>8</v>
      </c>
      <c r="AF456" s="30" t="s">
        <v>45</v>
      </c>
      <c r="AG456" s="30" t="s">
        <v>48</v>
      </c>
      <c r="AH456" s="30" t="s">
        <v>7</v>
      </c>
      <c r="AI456" s="30"/>
    </row>
    <row r="457" spans="1:35" x14ac:dyDescent="0.3">
      <c r="A457" s="30">
        <v>281</v>
      </c>
      <c r="B457" s="30" t="s">
        <v>569</v>
      </c>
      <c r="C457" s="30" t="s">
        <v>570</v>
      </c>
      <c r="D457" s="31">
        <v>46142</v>
      </c>
      <c r="E457" s="30">
        <v>1092</v>
      </c>
      <c r="F457" s="30">
        <v>0</v>
      </c>
      <c r="G457" s="32">
        <v>14826817</v>
      </c>
      <c r="H457" s="30">
        <v>8271300732</v>
      </c>
      <c r="I457" s="30" t="s">
        <v>1022</v>
      </c>
      <c r="J457" s="30" t="s">
        <v>708</v>
      </c>
      <c r="K457" s="30" t="s">
        <v>42</v>
      </c>
      <c r="L457" s="30" t="s">
        <v>194</v>
      </c>
      <c r="M457" s="30" t="s">
        <v>195</v>
      </c>
      <c r="N457" s="30" t="s">
        <v>397</v>
      </c>
      <c r="O457" s="30">
        <v>9968.35</v>
      </c>
      <c r="P457" s="30">
        <v>1487.39</v>
      </c>
      <c r="Q457" s="30" t="s">
        <v>168</v>
      </c>
      <c r="R457" s="30" t="s">
        <v>169</v>
      </c>
      <c r="S457" s="30"/>
      <c r="T457" s="30"/>
      <c r="U457" s="30"/>
      <c r="V457" s="30" t="s">
        <v>172</v>
      </c>
      <c r="W457" s="30" t="s">
        <v>282</v>
      </c>
      <c r="X457" s="30" t="s">
        <v>589</v>
      </c>
      <c r="Y457" s="30" t="s">
        <v>1023</v>
      </c>
      <c r="Z457" s="30">
        <v>1</v>
      </c>
      <c r="AA457" s="30" t="s">
        <v>197</v>
      </c>
      <c r="AB457" s="30">
        <v>11</v>
      </c>
      <c r="AC457" s="30" t="s">
        <v>177</v>
      </c>
      <c r="AD457" s="30" t="s">
        <v>178</v>
      </c>
      <c r="AE457" s="30" t="s">
        <v>8</v>
      </c>
      <c r="AF457" s="30" t="s">
        <v>38</v>
      </c>
      <c r="AG457" s="30" t="s">
        <v>42</v>
      </c>
      <c r="AH457" s="30" t="s">
        <v>7</v>
      </c>
      <c r="AI457" s="30"/>
    </row>
    <row r="458" spans="1:35" x14ac:dyDescent="0.3">
      <c r="A458" s="30">
        <v>282</v>
      </c>
      <c r="B458" s="30" t="s">
        <v>569</v>
      </c>
      <c r="C458" s="30" t="s">
        <v>570</v>
      </c>
      <c r="D458" s="31">
        <v>46142</v>
      </c>
      <c r="E458" s="30">
        <v>1092</v>
      </c>
      <c r="F458" s="30">
        <v>0</v>
      </c>
      <c r="G458" s="32">
        <v>46228394</v>
      </c>
      <c r="H458" s="30">
        <v>8317529126</v>
      </c>
      <c r="I458" s="30" t="s">
        <v>1024</v>
      </c>
      <c r="J458" s="30" t="s">
        <v>708</v>
      </c>
      <c r="K458" s="30" t="s">
        <v>42</v>
      </c>
      <c r="L458" s="30" t="s">
        <v>194</v>
      </c>
      <c r="M458" s="30" t="s">
        <v>195</v>
      </c>
      <c r="N458" s="30" t="s">
        <v>397</v>
      </c>
      <c r="O458" s="30">
        <v>31080.21</v>
      </c>
      <c r="P458" s="30">
        <v>1487.39</v>
      </c>
      <c r="Q458" s="30" t="s">
        <v>168</v>
      </c>
      <c r="R458" s="30" t="s">
        <v>169</v>
      </c>
      <c r="S458" s="30"/>
      <c r="T458" s="30"/>
      <c r="U458" s="30"/>
      <c r="V458" s="30" t="s">
        <v>172</v>
      </c>
      <c r="W458" s="30" t="s">
        <v>282</v>
      </c>
      <c r="X458" s="30" t="s">
        <v>589</v>
      </c>
      <c r="Y458" s="30" t="s">
        <v>1023</v>
      </c>
      <c r="Z458" s="30">
        <v>7</v>
      </c>
      <c r="AA458" s="30" t="s">
        <v>197</v>
      </c>
      <c r="AB458" s="30">
        <v>11</v>
      </c>
      <c r="AC458" s="30" t="s">
        <v>177</v>
      </c>
      <c r="AD458" s="30" t="s">
        <v>178</v>
      </c>
      <c r="AE458" s="30" t="s">
        <v>8</v>
      </c>
      <c r="AF458" s="30" t="s">
        <v>38</v>
      </c>
      <c r="AG458" s="30" t="s">
        <v>42</v>
      </c>
      <c r="AH458" s="30" t="s">
        <v>7</v>
      </c>
      <c r="AI458" s="30"/>
    </row>
    <row r="459" spans="1:35" x14ac:dyDescent="0.3">
      <c r="A459" s="30">
        <v>283</v>
      </c>
      <c r="B459" s="30" t="s">
        <v>569</v>
      </c>
      <c r="C459" s="30" t="s">
        <v>570</v>
      </c>
      <c r="D459" s="31">
        <v>46142</v>
      </c>
      <c r="E459" s="30">
        <v>1092</v>
      </c>
      <c r="F459" s="30">
        <v>0</v>
      </c>
      <c r="G459" s="32">
        <v>99364</v>
      </c>
      <c r="H459" s="30">
        <v>8317628490</v>
      </c>
      <c r="I459" s="30" t="s">
        <v>1025</v>
      </c>
      <c r="J459" s="30" t="s">
        <v>708</v>
      </c>
      <c r="K459" s="30" t="s">
        <v>42</v>
      </c>
      <c r="L459" s="30" t="s">
        <v>194</v>
      </c>
      <c r="M459" s="30" t="s">
        <v>195</v>
      </c>
      <c r="N459" s="30" t="s">
        <v>397</v>
      </c>
      <c r="O459" s="30">
        <v>66.8</v>
      </c>
      <c r="P459" s="30">
        <v>1487.39</v>
      </c>
      <c r="Q459" s="30" t="s">
        <v>168</v>
      </c>
      <c r="R459" s="30" t="s">
        <v>169</v>
      </c>
      <c r="S459" s="30"/>
      <c r="T459" s="30"/>
      <c r="U459" s="30"/>
      <c r="V459" s="30" t="s">
        <v>172</v>
      </c>
      <c r="W459" s="30" t="s">
        <v>282</v>
      </c>
      <c r="X459" s="30" t="s">
        <v>589</v>
      </c>
      <c r="Y459" s="30" t="s">
        <v>1023</v>
      </c>
      <c r="Z459" s="30">
        <v>13</v>
      </c>
      <c r="AA459" s="30" t="s">
        <v>197</v>
      </c>
      <c r="AB459" s="30">
        <v>11</v>
      </c>
      <c r="AC459" s="30" t="s">
        <v>177</v>
      </c>
      <c r="AD459" s="30" t="s">
        <v>178</v>
      </c>
      <c r="AE459" s="30" t="s">
        <v>8</v>
      </c>
      <c r="AF459" s="30" t="s">
        <v>38</v>
      </c>
      <c r="AG459" s="30" t="s">
        <v>42</v>
      </c>
      <c r="AH459" s="30" t="s">
        <v>7</v>
      </c>
      <c r="AI459" s="30"/>
    </row>
    <row r="460" spans="1:35" x14ac:dyDescent="0.3">
      <c r="A460" s="30">
        <v>284</v>
      </c>
      <c r="B460" s="30" t="s">
        <v>569</v>
      </c>
      <c r="C460" s="30" t="s">
        <v>570</v>
      </c>
      <c r="D460" s="31">
        <v>46142</v>
      </c>
      <c r="E460" s="30">
        <v>1092</v>
      </c>
      <c r="F460" s="30">
        <v>0</v>
      </c>
      <c r="G460" s="32">
        <v>1851834</v>
      </c>
      <c r="H460" s="30">
        <v>8319480324</v>
      </c>
      <c r="I460" s="30" t="s">
        <v>1026</v>
      </c>
      <c r="J460" s="30" t="s">
        <v>708</v>
      </c>
      <c r="K460" s="30" t="s">
        <v>42</v>
      </c>
      <c r="L460" s="30" t="s">
        <v>194</v>
      </c>
      <c r="M460" s="30" t="s">
        <v>195</v>
      </c>
      <c r="N460" s="30" t="s">
        <v>397</v>
      </c>
      <c r="O460" s="30">
        <v>1245.02</v>
      </c>
      <c r="P460" s="30">
        <v>1487.39</v>
      </c>
      <c r="Q460" s="30" t="s">
        <v>168</v>
      </c>
      <c r="R460" s="30" t="s">
        <v>169</v>
      </c>
      <c r="S460" s="30"/>
      <c r="T460" s="30"/>
      <c r="U460" s="30"/>
      <c r="V460" s="30" t="s">
        <v>172</v>
      </c>
      <c r="W460" s="30" t="s">
        <v>282</v>
      </c>
      <c r="X460" s="30" t="s">
        <v>589</v>
      </c>
      <c r="Y460" s="30" t="s">
        <v>1023</v>
      </c>
      <c r="Z460" s="30">
        <v>16</v>
      </c>
      <c r="AA460" s="30" t="s">
        <v>197</v>
      </c>
      <c r="AB460" s="30">
        <v>11</v>
      </c>
      <c r="AC460" s="30" t="s">
        <v>177</v>
      </c>
      <c r="AD460" s="30" t="s">
        <v>178</v>
      </c>
      <c r="AE460" s="30" t="s">
        <v>8</v>
      </c>
      <c r="AF460" s="30" t="s">
        <v>38</v>
      </c>
      <c r="AG460" s="30" t="s">
        <v>42</v>
      </c>
      <c r="AH460" s="30" t="s">
        <v>7</v>
      </c>
      <c r="AI460" s="30"/>
    </row>
    <row r="461" spans="1:35" x14ac:dyDescent="0.3">
      <c r="A461" s="30">
        <v>285</v>
      </c>
      <c r="B461" s="30" t="s">
        <v>569</v>
      </c>
      <c r="C461" s="30" t="s">
        <v>570</v>
      </c>
      <c r="D461" s="31">
        <v>46142</v>
      </c>
      <c r="E461" s="30">
        <v>1092</v>
      </c>
      <c r="F461" s="30">
        <v>0</v>
      </c>
      <c r="G461" s="32">
        <v>5219360</v>
      </c>
      <c r="H461" s="30">
        <v>8324699684</v>
      </c>
      <c r="I461" s="30" t="s">
        <v>1027</v>
      </c>
      <c r="J461" s="30" t="s">
        <v>708</v>
      </c>
      <c r="K461" s="30" t="s">
        <v>42</v>
      </c>
      <c r="L461" s="30" t="s">
        <v>194</v>
      </c>
      <c r="M461" s="30" t="s">
        <v>195</v>
      </c>
      <c r="N461" s="30" t="s">
        <v>397</v>
      </c>
      <c r="O461" s="30">
        <v>3509.07</v>
      </c>
      <c r="P461" s="30">
        <v>1487.39</v>
      </c>
      <c r="Q461" s="30" t="s">
        <v>168</v>
      </c>
      <c r="R461" s="30" t="s">
        <v>169</v>
      </c>
      <c r="S461" s="30"/>
      <c r="T461" s="30"/>
      <c r="U461" s="30"/>
      <c r="V461" s="30" t="s">
        <v>172</v>
      </c>
      <c r="W461" s="30" t="s">
        <v>282</v>
      </c>
      <c r="X461" s="30" t="s">
        <v>589</v>
      </c>
      <c r="Y461" s="30" t="s">
        <v>1023</v>
      </c>
      <c r="Z461" s="30">
        <v>21</v>
      </c>
      <c r="AA461" s="30" t="s">
        <v>197</v>
      </c>
      <c r="AB461" s="30">
        <v>11</v>
      </c>
      <c r="AC461" s="30" t="s">
        <v>177</v>
      </c>
      <c r="AD461" s="30" t="s">
        <v>178</v>
      </c>
      <c r="AE461" s="30" t="s">
        <v>8</v>
      </c>
      <c r="AF461" s="30" t="s">
        <v>38</v>
      </c>
      <c r="AG461" s="30" t="s">
        <v>42</v>
      </c>
      <c r="AH461" s="30" t="s">
        <v>7</v>
      </c>
      <c r="AI461" s="30"/>
    </row>
    <row r="462" spans="1:35" x14ac:dyDescent="0.3">
      <c r="A462" s="30">
        <v>286</v>
      </c>
      <c r="B462" s="30" t="s">
        <v>569</v>
      </c>
      <c r="C462" s="30" t="s">
        <v>570</v>
      </c>
      <c r="D462" s="31">
        <v>46142</v>
      </c>
      <c r="E462" s="30">
        <v>1092</v>
      </c>
      <c r="F462" s="30">
        <v>0</v>
      </c>
      <c r="G462" s="32">
        <v>495382</v>
      </c>
      <c r="H462" s="30">
        <v>8325195066</v>
      </c>
      <c r="I462" s="30" t="s">
        <v>1028</v>
      </c>
      <c r="J462" s="30" t="s">
        <v>708</v>
      </c>
      <c r="K462" s="30" t="s">
        <v>42</v>
      </c>
      <c r="L462" s="30" t="s">
        <v>194</v>
      </c>
      <c r="M462" s="30" t="s">
        <v>195</v>
      </c>
      <c r="N462" s="30" t="s">
        <v>397</v>
      </c>
      <c r="O462" s="30">
        <v>333.05</v>
      </c>
      <c r="P462" s="30">
        <v>1487.39</v>
      </c>
      <c r="Q462" s="30" t="s">
        <v>168</v>
      </c>
      <c r="R462" s="30" t="s">
        <v>169</v>
      </c>
      <c r="S462" s="30"/>
      <c r="T462" s="30"/>
      <c r="U462" s="30"/>
      <c r="V462" s="30" t="s">
        <v>172</v>
      </c>
      <c r="W462" s="30" t="s">
        <v>282</v>
      </c>
      <c r="X462" s="30" t="s">
        <v>589</v>
      </c>
      <c r="Y462" s="30" t="s">
        <v>1023</v>
      </c>
      <c r="Z462" s="30">
        <v>23</v>
      </c>
      <c r="AA462" s="30" t="s">
        <v>197</v>
      </c>
      <c r="AB462" s="30">
        <v>11</v>
      </c>
      <c r="AC462" s="30" t="s">
        <v>177</v>
      </c>
      <c r="AD462" s="30" t="s">
        <v>178</v>
      </c>
      <c r="AE462" s="30" t="s">
        <v>8</v>
      </c>
      <c r="AF462" s="30" t="s">
        <v>38</v>
      </c>
      <c r="AG462" s="30" t="s">
        <v>42</v>
      </c>
      <c r="AH462" s="30" t="s">
        <v>7</v>
      </c>
      <c r="AI462" s="30"/>
    </row>
    <row r="463" spans="1:35" x14ac:dyDescent="0.3">
      <c r="A463" s="30">
        <v>287</v>
      </c>
      <c r="B463" s="30" t="s">
        <v>569</v>
      </c>
      <c r="C463" s="30" t="s">
        <v>570</v>
      </c>
      <c r="D463" s="31">
        <v>46142</v>
      </c>
      <c r="E463" s="30">
        <v>1092</v>
      </c>
      <c r="F463" s="30">
        <v>0</v>
      </c>
      <c r="G463" s="32">
        <v>8540601</v>
      </c>
      <c r="H463" s="30">
        <v>8333735667</v>
      </c>
      <c r="I463" s="30" t="s">
        <v>1029</v>
      </c>
      <c r="J463" s="30" t="s">
        <v>708</v>
      </c>
      <c r="K463" s="30" t="s">
        <v>42</v>
      </c>
      <c r="L463" s="30" t="s">
        <v>194</v>
      </c>
      <c r="M463" s="30" t="s">
        <v>195</v>
      </c>
      <c r="N463" s="30" t="s">
        <v>397</v>
      </c>
      <c r="O463" s="30">
        <v>5742</v>
      </c>
      <c r="P463" s="30">
        <v>1487.39</v>
      </c>
      <c r="Q463" s="30" t="s">
        <v>168</v>
      </c>
      <c r="R463" s="30" t="s">
        <v>169</v>
      </c>
      <c r="S463" s="30"/>
      <c r="T463" s="30"/>
      <c r="U463" s="30"/>
      <c r="V463" s="30" t="s">
        <v>172</v>
      </c>
      <c r="W463" s="30" t="s">
        <v>282</v>
      </c>
      <c r="X463" s="30" t="s">
        <v>589</v>
      </c>
      <c r="Y463" s="30" t="s">
        <v>1023</v>
      </c>
      <c r="Z463" s="30">
        <v>26</v>
      </c>
      <c r="AA463" s="30" t="s">
        <v>197</v>
      </c>
      <c r="AB463" s="30">
        <v>11</v>
      </c>
      <c r="AC463" s="30" t="s">
        <v>177</v>
      </c>
      <c r="AD463" s="30" t="s">
        <v>178</v>
      </c>
      <c r="AE463" s="30" t="s">
        <v>8</v>
      </c>
      <c r="AF463" s="30" t="s">
        <v>38</v>
      </c>
      <c r="AG463" s="30" t="s">
        <v>42</v>
      </c>
      <c r="AH463" s="30" t="s">
        <v>7</v>
      </c>
      <c r="AI463" s="30"/>
    </row>
    <row r="464" spans="1:35" x14ac:dyDescent="0.3">
      <c r="A464" s="30">
        <v>288</v>
      </c>
      <c r="B464" s="30" t="s">
        <v>569</v>
      </c>
      <c r="C464" s="30" t="s">
        <v>570</v>
      </c>
      <c r="D464" s="31">
        <v>46142</v>
      </c>
      <c r="E464" s="30">
        <v>1091</v>
      </c>
      <c r="F464" s="30">
        <v>0</v>
      </c>
      <c r="G464" s="32">
        <v>67194</v>
      </c>
      <c r="H464" s="30">
        <v>8333802861</v>
      </c>
      <c r="I464" s="30" t="s">
        <v>1030</v>
      </c>
      <c r="J464" s="30" t="s">
        <v>708</v>
      </c>
      <c r="K464" s="30" t="s">
        <v>42</v>
      </c>
      <c r="L464" s="30" t="s">
        <v>194</v>
      </c>
      <c r="M464" s="30" t="s">
        <v>195</v>
      </c>
      <c r="N464" s="30" t="s">
        <v>397</v>
      </c>
      <c r="O464" s="30">
        <v>46.4</v>
      </c>
      <c r="P464" s="30">
        <v>1449.32</v>
      </c>
      <c r="Q464" s="30" t="s">
        <v>168</v>
      </c>
      <c r="R464" s="30" t="s">
        <v>169</v>
      </c>
      <c r="S464" s="30"/>
      <c r="T464" s="30"/>
      <c r="U464" s="30"/>
      <c r="V464" s="30" t="s">
        <v>172</v>
      </c>
      <c r="W464" s="30" t="s">
        <v>282</v>
      </c>
      <c r="X464" s="30" t="s">
        <v>589</v>
      </c>
      <c r="Y464" s="30" t="s">
        <v>1031</v>
      </c>
      <c r="Z464" s="30">
        <v>1</v>
      </c>
      <c r="AA464" s="30" t="s">
        <v>197</v>
      </c>
      <c r="AB464" s="30">
        <v>11</v>
      </c>
      <c r="AC464" s="30" t="s">
        <v>177</v>
      </c>
      <c r="AD464" s="30" t="s">
        <v>178</v>
      </c>
      <c r="AE464" s="30" t="s">
        <v>8</v>
      </c>
      <c r="AF464" s="30" t="s">
        <v>38</v>
      </c>
      <c r="AG464" s="30" t="s">
        <v>42</v>
      </c>
      <c r="AH464" s="30" t="s">
        <v>7</v>
      </c>
      <c r="AI464" s="30"/>
    </row>
    <row r="465" spans="1:35" x14ac:dyDescent="0.3">
      <c r="A465" s="30">
        <v>289</v>
      </c>
      <c r="B465" s="30" t="s">
        <v>569</v>
      </c>
      <c r="C465" s="30" t="s">
        <v>570</v>
      </c>
      <c r="D465" s="31">
        <v>46142</v>
      </c>
      <c r="E465" s="30">
        <v>1090</v>
      </c>
      <c r="F465" s="30">
        <v>0</v>
      </c>
      <c r="G465" s="32">
        <v>67036817</v>
      </c>
      <c r="H465" s="30">
        <v>8400839678</v>
      </c>
      <c r="I465" s="30" t="s">
        <v>1032</v>
      </c>
      <c r="J465" s="30" t="s">
        <v>625</v>
      </c>
      <c r="K465" s="30" t="s">
        <v>626</v>
      </c>
      <c r="L465" s="30" t="s">
        <v>194</v>
      </c>
      <c r="M465" s="30" t="s">
        <v>195</v>
      </c>
      <c r="N465" s="30" t="s">
        <v>397</v>
      </c>
      <c r="O465" s="30">
        <v>45070.1</v>
      </c>
      <c r="P465" s="30">
        <v>1487.39</v>
      </c>
      <c r="Q465" s="30" t="s">
        <v>168</v>
      </c>
      <c r="R465" s="30" t="s">
        <v>169</v>
      </c>
      <c r="S465" s="30"/>
      <c r="T465" s="30"/>
      <c r="U465" s="30"/>
      <c r="V465" s="30" t="s">
        <v>172</v>
      </c>
      <c r="W465" s="30" t="s">
        <v>282</v>
      </c>
      <c r="X465" s="30" t="s">
        <v>589</v>
      </c>
      <c r="Y465" s="30" t="s">
        <v>1033</v>
      </c>
      <c r="Z465" s="30">
        <v>1</v>
      </c>
      <c r="AA465" s="30" t="s">
        <v>197</v>
      </c>
      <c r="AB465" s="30">
        <v>11</v>
      </c>
      <c r="AC465" s="30" t="s">
        <v>177</v>
      </c>
      <c r="AD465" s="30" t="s">
        <v>178</v>
      </c>
      <c r="AE465" s="30" t="s">
        <v>8</v>
      </c>
      <c r="AF465" s="30" t="s">
        <v>38</v>
      </c>
      <c r="AG465" s="30" t="s">
        <v>39</v>
      </c>
      <c r="AH465" s="30" t="s">
        <v>7</v>
      </c>
      <c r="AI465" s="30"/>
    </row>
    <row r="466" spans="1:35" x14ac:dyDescent="0.3">
      <c r="A466" s="30">
        <v>290</v>
      </c>
      <c r="B466" s="30" t="s">
        <v>569</v>
      </c>
      <c r="C466" s="30" t="s">
        <v>570</v>
      </c>
      <c r="D466" s="31">
        <v>46142</v>
      </c>
      <c r="E466" s="30">
        <v>1090</v>
      </c>
      <c r="F466" s="30">
        <v>0</v>
      </c>
      <c r="G466" s="32">
        <v>27169</v>
      </c>
      <c r="H466" s="30">
        <v>8400866847</v>
      </c>
      <c r="I466" s="30" t="s">
        <v>1034</v>
      </c>
      <c r="J466" s="30" t="s">
        <v>625</v>
      </c>
      <c r="K466" s="30" t="s">
        <v>626</v>
      </c>
      <c r="L466" s="30" t="s">
        <v>194</v>
      </c>
      <c r="M466" s="30" t="s">
        <v>195</v>
      </c>
      <c r="N466" s="30" t="s">
        <v>397</v>
      </c>
      <c r="O466" s="30">
        <v>18.27</v>
      </c>
      <c r="P466" s="30">
        <v>1487.39</v>
      </c>
      <c r="Q466" s="30" t="s">
        <v>168</v>
      </c>
      <c r="R466" s="30" t="s">
        <v>169</v>
      </c>
      <c r="S466" s="30"/>
      <c r="T466" s="30"/>
      <c r="U466" s="30"/>
      <c r="V466" s="30" t="s">
        <v>172</v>
      </c>
      <c r="W466" s="30" t="s">
        <v>282</v>
      </c>
      <c r="X466" s="30" t="s">
        <v>589</v>
      </c>
      <c r="Y466" s="30" t="s">
        <v>1033</v>
      </c>
      <c r="Z466" s="30">
        <v>3</v>
      </c>
      <c r="AA466" s="30" t="s">
        <v>197</v>
      </c>
      <c r="AB466" s="30">
        <v>11</v>
      </c>
      <c r="AC466" s="30" t="s">
        <v>177</v>
      </c>
      <c r="AD466" s="30" t="s">
        <v>178</v>
      </c>
      <c r="AE466" s="30" t="s">
        <v>8</v>
      </c>
      <c r="AF466" s="30" t="s">
        <v>38</v>
      </c>
      <c r="AG466" s="30" t="s">
        <v>39</v>
      </c>
      <c r="AH466" s="30" t="s">
        <v>7</v>
      </c>
      <c r="AI466" s="30"/>
    </row>
    <row r="467" spans="1:35" x14ac:dyDescent="0.3">
      <c r="A467" s="30">
        <v>291</v>
      </c>
      <c r="B467" s="30" t="s">
        <v>569</v>
      </c>
      <c r="C467" s="30" t="s">
        <v>570</v>
      </c>
      <c r="D467" s="31">
        <v>46142</v>
      </c>
      <c r="E467" s="30">
        <v>1105</v>
      </c>
      <c r="F467" s="30">
        <v>0</v>
      </c>
      <c r="G467" s="32">
        <v>592031049</v>
      </c>
      <c r="H467" s="30">
        <v>8992897896</v>
      </c>
      <c r="I467" s="30" t="s">
        <v>1035</v>
      </c>
      <c r="J467" s="30" t="s">
        <v>630</v>
      </c>
      <c r="K467" s="30" t="s">
        <v>631</v>
      </c>
      <c r="L467" s="30" t="s">
        <v>194</v>
      </c>
      <c r="M467" s="30" t="s">
        <v>195</v>
      </c>
      <c r="N467" s="30" t="s">
        <v>634</v>
      </c>
      <c r="O467" s="30">
        <v>12609820</v>
      </c>
      <c r="P467" s="30">
        <v>46.95</v>
      </c>
      <c r="Q467" s="30" t="s">
        <v>168</v>
      </c>
      <c r="R467" s="30" t="s">
        <v>169</v>
      </c>
      <c r="S467" s="30"/>
      <c r="T467" s="30"/>
      <c r="U467" s="30"/>
      <c r="V467" s="30" t="s">
        <v>172</v>
      </c>
      <c r="W467" s="30" t="s">
        <v>282</v>
      </c>
      <c r="X467" s="30" t="s">
        <v>589</v>
      </c>
      <c r="Y467" s="30" t="s">
        <v>1036</v>
      </c>
      <c r="Z467" s="30">
        <v>2</v>
      </c>
      <c r="AA467" s="30" t="s">
        <v>197</v>
      </c>
      <c r="AB467" s="30">
        <v>11</v>
      </c>
      <c r="AC467" s="30" t="s">
        <v>177</v>
      </c>
      <c r="AD467" s="30" t="s">
        <v>178</v>
      </c>
      <c r="AE467" s="30" t="s">
        <v>8</v>
      </c>
      <c r="AF467" s="30" t="s">
        <v>38</v>
      </c>
      <c r="AG467" s="30" t="s">
        <v>40</v>
      </c>
      <c r="AH467" s="30" t="s">
        <v>7</v>
      </c>
      <c r="AI467" s="30" t="s">
        <v>41</v>
      </c>
    </row>
    <row r="468" spans="1:35" x14ac:dyDescent="0.3">
      <c r="A468" s="30">
        <v>292</v>
      </c>
      <c r="B468" s="30" t="s">
        <v>569</v>
      </c>
      <c r="C468" s="30" t="s">
        <v>570</v>
      </c>
      <c r="D468" s="31">
        <v>46142</v>
      </c>
      <c r="E468" s="30">
        <v>1104</v>
      </c>
      <c r="F468" s="30">
        <v>0</v>
      </c>
      <c r="G468" s="32">
        <v>303164011</v>
      </c>
      <c r="H468" s="30">
        <v>9296061907</v>
      </c>
      <c r="I468" s="30" t="s">
        <v>1037</v>
      </c>
      <c r="J468" s="30" t="s">
        <v>637</v>
      </c>
      <c r="K468" s="30" t="s">
        <v>638</v>
      </c>
      <c r="L468" s="30" t="s">
        <v>194</v>
      </c>
      <c r="M468" s="30" t="s">
        <v>195</v>
      </c>
      <c r="N468" s="30" t="s">
        <v>397</v>
      </c>
      <c r="O468" s="30">
        <v>203822.81</v>
      </c>
      <c r="P468" s="30">
        <v>1487.39</v>
      </c>
      <c r="Q468" s="30" t="s">
        <v>639</v>
      </c>
      <c r="R468" s="30" t="s">
        <v>640</v>
      </c>
      <c r="S468" s="30"/>
      <c r="T468" s="30"/>
      <c r="U468" s="30"/>
      <c r="V468" s="30" t="s">
        <v>172</v>
      </c>
      <c r="W468" s="30" t="s">
        <v>282</v>
      </c>
      <c r="X468" s="30" t="s">
        <v>589</v>
      </c>
      <c r="Y468" s="30" t="s">
        <v>1038</v>
      </c>
      <c r="Z468" s="30">
        <v>2</v>
      </c>
      <c r="AA468" s="30" t="s">
        <v>197</v>
      </c>
      <c r="AB468" s="30">
        <v>11</v>
      </c>
      <c r="AC468" s="30" t="s">
        <v>177</v>
      </c>
      <c r="AD468" s="30" t="s">
        <v>178</v>
      </c>
      <c r="AE468" s="30" t="s">
        <v>8</v>
      </c>
      <c r="AF468" s="30" t="s">
        <v>28</v>
      </c>
      <c r="AG468" s="30" t="s">
        <v>31</v>
      </c>
      <c r="AH468" s="30" t="s">
        <v>7</v>
      </c>
      <c r="AI468" s="30"/>
    </row>
    <row r="469" spans="1:35" x14ac:dyDescent="0.3">
      <c r="A469" s="30">
        <v>293</v>
      </c>
      <c r="B469" s="30" t="s">
        <v>569</v>
      </c>
      <c r="C469" s="30" t="s">
        <v>570</v>
      </c>
      <c r="D469" s="31">
        <v>46142</v>
      </c>
      <c r="E469" s="30">
        <v>1306</v>
      </c>
      <c r="F469" s="30">
        <v>0</v>
      </c>
      <c r="G469" s="32">
        <v>64693284</v>
      </c>
      <c r="H469" s="30">
        <v>9360755191</v>
      </c>
      <c r="I469" s="30" t="s">
        <v>1039</v>
      </c>
      <c r="J469" s="30" t="s">
        <v>657</v>
      </c>
      <c r="K469" s="30" t="s">
        <v>658</v>
      </c>
      <c r="L469" s="30" t="s">
        <v>194</v>
      </c>
      <c r="M469" s="30" t="s">
        <v>195</v>
      </c>
      <c r="N469" s="30" t="s">
        <v>397</v>
      </c>
      <c r="O469" s="30">
        <v>43494.5</v>
      </c>
      <c r="P469" s="30">
        <v>1487.39</v>
      </c>
      <c r="Q469" s="30" t="s">
        <v>168</v>
      </c>
      <c r="R469" s="30" t="s">
        <v>169</v>
      </c>
      <c r="S469" s="30"/>
      <c r="T469" s="30"/>
      <c r="U469" s="30"/>
      <c r="V469" s="30" t="s">
        <v>172</v>
      </c>
      <c r="W469" s="30" t="s">
        <v>282</v>
      </c>
      <c r="X469" s="30" t="s">
        <v>228</v>
      </c>
      <c r="Y469" s="30" t="s">
        <v>1040</v>
      </c>
      <c r="Z469" s="30">
        <v>3</v>
      </c>
      <c r="AA469" s="30" t="s">
        <v>575</v>
      </c>
      <c r="AB469" s="30">
        <v>11</v>
      </c>
      <c r="AC469" s="30" t="s">
        <v>177</v>
      </c>
      <c r="AD469" s="30" t="s">
        <v>178</v>
      </c>
      <c r="AE469" s="30" t="s">
        <v>8</v>
      </c>
      <c r="AF469" s="30" t="s">
        <v>28</v>
      </c>
      <c r="AG469" s="30" t="s">
        <v>30</v>
      </c>
      <c r="AH469" s="30" t="s">
        <v>7</v>
      </c>
      <c r="AI469" s="30"/>
    </row>
    <row r="470" spans="1:35" x14ac:dyDescent="0.3">
      <c r="A470" s="30">
        <v>294</v>
      </c>
      <c r="B470" s="30" t="s">
        <v>569</v>
      </c>
      <c r="C470" s="30" t="s">
        <v>570</v>
      </c>
      <c r="D470" s="31">
        <v>46142</v>
      </c>
      <c r="E470" s="30">
        <v>1157</v>
      </c>
      <c r="F470" s="30">
        <v>0</v>
      </c>
      <c r="G470" s="32">
        <v>821018</v>
      </c>
      <c r="H470" s="30">
        <v>9361576209</v>
      </c>
      <c r="I470" s="30" t="s">
        <v>669</v>
      </c>
      <c r="J470" s="30" t="s">
        <v>299</v>
      </c>
      <c r="K470" s="30" t="s">
        <v>300</v>
      </c>
      <c r="L470" s="30" t="s">
        <v>670</v>
      </c>
      <c r="M470" s="30" t="s">
        <v>671</v>
      </c>
      <c r="N470" s="30" t="s">
        <v>167</v>
      </c>
      <c r="O470" s="30">
        <v>821018</v>
      </c>
      <c r="P470" s="30">
        <v>1</v>
      </c>
      <c r="Q470" s="30" t="s">
        <v>168</v>
      </c>
      <c r="R470" s="30" t="s">
        <v>169</v>
      </c>
      <c r="S470" s="30"/>
      <c r="T470" s="30"/>
      <c r="U470" s="30"/>
      <c r="V470" s="30" t="s">
        <v>172</v>
      </c>
      <c r="W470" s="30" t="s">
        <v>282</v>
      </c>
      <c r="X470" s="30" t="s">
        <v>434</v>
      </c>
      <c r="Y470" s="30" t="s">
        <v>1041</v>
      </c>
      <c r="Z470" s="30">
        <v>2541</v>
      </c>
      <c r="AA470" s="30" t="s">
        <v>673</v>
      </c>
      <c r="AB470" s="30">
        <v>12</v>
      </c>
      <c r="AC470" s="30" t="s">
        <v>205</v>
      </c>
      <c r="AD470" s="30" t="s">
        <v>178</v>
      </c>
      <c r="AE470" s="30" t="s">
        <v>8</v>
      </c>
      <c r="AF470" s="30" t="s">
        <v>28</v>
      </c>
      <c r="AG470" s="30" t="s">
        <v>32</v>
      </c>
      <c r="AH470" s="30" t="s">
        <v>7</v>
      </c>
      <c r="AI470" s="30"/>
    </row>
    <row r="471" spans="1:35" x14ac:dyDescent="0.3">
      <c r="A471" s="30">
        <v>295</v>
      </c>
      <c r="B471" s="30" t="s">
        <v>569</v>
      </c>
      <c r="C471" s="30" t="s">
        <v>570</v>
      </c>
      <c r="D471" s="31">
        <v>46142</v>
      </c>
      <c r="E471" s="30">
        <v>1219</v>
      </c>
      <c r="F471" s="30">
        <v>0</v>
      </c>
      <c r="G471" s="32">
        <v>841909</v>
      </c>
      <c r="H471" s="30">
        <v>9362418118</v>
      </c>
      <c r="I471" s="30" t="s">
        <v>1042</v>
      </c>
      <c r="J471" s="30" t="s">
        <v>299</v>
      </c>
      <c r="K471" s="30" t="s">
        <v>300</v>
      </c>
      <c r="L471" s="30" t="s">
        <v>365</v>
      </c>
      <c r="M471" s="30" t="s">
        <v>366</v>
      </c>
      <c r="N471" s="30" t="s">
        <v>167</v>
      </c>
      <c r="O471" s="30">
        <v>841909</v>
      </c>
      <c r="P471" s="30">
        <v>1</v>
      </c>
      <c r="Q471" s="30" t="s">
        <v>583</v>
      </c>
      <c r="R471" s="30" t="s">
        <v>584</v>
      </c>
      <c r="S471" s="30" t="s">
        <v>170</v>
      </c>
      <c r="T471" s="30" t="s">
        <v>171</v>
      </c>
      <c r="U471" s="30" t="s">
        <v>570</v>
      </c>
      <c r="V471" s="30" t="s">
        <v>172</v>
      </c>
      <c r="W471" s="30" t="s">
        <v>282</v>
      </c>
      <c r="X471" s="30" t="s">
        <v>228</v>
      </c>
      <c r="Y471" s="30" t="s">
        <v>1043</v>
      </c>
      <c r="Z471" s="30">
        <v>1</v>
      </c>
      <c r="AA471" s="30" t="s">
        <v>176</v>
      </c>
      <c r="AB471" s="30">
        <v>11</v>
      </c>
      <c r="AC471" s="30" t="s">
        <v>177</v>
      </c>
      <c r="AD471" s="30" t="s">
        <v>178</v>
      </c>
      <c r="AE471" s="30" t="s">
        <v>8</v>
      </c>
      <c r="AF471" s="30" t="s">
        <v>28</v>
      </c>
      <c r="AG471" s="30" t="s">
        <v>32</v>
      </c>
      <c r="AH471" s="30" t="s">
        <v>7</v>
      </c>
      <c r="AI471" s="30"/>
    </row>
    <row r="472" spans="1:35" x14ac:dyDescent="0.3">
      <c r="A472" s="30">
        <v>296</v>
      </c>
      <c r="B472" s="30" t="s">
        <v>569</v>
      </c>
      <c r="C472" s="30" t="s">
        <v>570</v>
      </c>
      <c r="D472" s="31">
        <v>46142</v>
      </c>
      <c r="E472" s="30">
        <v>1220</v>
      </c>
      <c r="F472" s="30">
        <v>0</v>
      </c>
      <c r="G472" s="32">
        <v>32651198</v>
      </c>
      <c r="H472" s="30">
        <v>9395069316</v>
      </c>
      <c r="I472" s="30" t="s">
        <v>1044</v>
      </c>
      <c r="J472" s="30" t="s">
        <v>163</v>
      </c>
      <c r="K472" s="30" t="s">
        <v>164</v>
      </c>
      <c r="L472" s="30" t="s">
        <v>365</v>
      </c>
      <c r="M472" s="30" t="s">
        <v>366</v>
      </c>
      <c r="N472" s="30" t="s">
        <v>167</v>
      </c>
      <c r="O472" s="30">
        <v>32651198</v>
      </c>
      <c r="P472" s="30">
        <v>1</v>
      </c>
      <c r="Q472" s="30" t="s">
        <v>650</v>
      </c>
      <c r="R472" s="30" t="s">
        <v>651</v>
      </c>
      <c r="S472" s="30" t="s">
        <v>170</v>
      </c>
      <c r="T472" s="30" t="s">
        <v>171</v>
      </c>
      <c r="U472" s="30" t="s">
        <v>570</v>
      </c>
      <c r="V472" s="30" t="s">
        <v>172</v>
      </c>
      <c r="W472" s="30" t="s">
        <v>282</v>
      </c>
      <c r="X472" s="30" t="s">
        <v>228</v>
      </c>
      <c r="Y472" s="30" t="s">
        <v>1045</v>
      </c>
      <c r="Z472" s="30">
        <v>1</v>
      </c>
      <c r="AA472" s="30" t="s">
        <v>176</v>
      </c>
      <c r="AB472" s="30">
        <v>11</v>
      </c>
      <c r="AC472" s="30" t="s">
        <v>177</v>
      </c>
      <c r="AD472" s="30" t="s">
        <v>178</v>
      </c>
      <c r="AE472" s="30" t="s">
        <v>8</v>
      </c>
      <c r="AF472" s="30" t="s">
        <v>28</v>
      </c>
      <c r="AG472" s="30" t="s">
        <v>37</v>
      </c>
      <c r="AH472" s="30" t="s">
        <v>7</v>
      </c>
      <c r="AI472" s="30"/>
    </row>
    <row r="473" spans="1:35" x14ac:dyDescent="0.3">
      <c r="A473" s="30">
        <v>297</v>
      </c>
      <c r="B473" s="30" t="s">
        <v>569</v>
      </c>
      <c r="C473" s="30" t="s">
        <v>570</v>
      </c>
      <c r="D473" s="31">
        <v>46142</v>
      </c>
      <c r="E473" s="30">
        <v>1271</v>
      </c>
      <c r="F473" s="30">
        <v>0</v>
      </c>
      <c r="G473" s="32">
        <v>751933</v>
      </c>
      <c r="H473" s="30">
        <v>9395821249</v>
      </c>
      <c r="I473" s="30" t="s">
        <v>1046</v>
      </c>
      <c r="J473" s="30" t="s">
        <v>720</v>
      </c>
      <c r="K473" s="30" t="s">
        <v>29</v>
      </c>
      <c r="L473" s="30" t="s">
        <v>194</v>
      </c>
      <c r="M473" s="30" t="s">
        <v>195</v>
      </c>
      <c r="N473" s="30" t="s">
        <v>721</v>
      </c>
      <c r="O473" s="30">
        <v>437.61</v>
      </c>
      <c r="P473" s="30">
        <v>1718.26</v>
      </c>
      <c r="Q473" s="30" t="s">
        <v>168</v>
      </c>
      <c r="R473" s="30" t="s">
        <v>169</v>
      </c>
      <c r="S473" s="30"/>
      <c r="T473" s="30"/>
      <c r="U473" s="30"/>
      <c r="V473" s="30" t="s">
        <v>172</v>
      </c>
      <c r="W473" s="30" t="s">
        <v>282</v>
      </c>
      <c r="X473" s="30" t="s">
        <v>228</v>
      </c>
      <c r="Y473" s="30" t="s">
        <v>1047</v>
      </c>
      <c r="Z473" s="30">
        <v>9</v>
      </c>
      <c r="AA473" s="30" t="s">
        <v>575</v>
      </c>
      <c r="AB473" s="30">
        <v>11</v>
      </c>
      <c r="AC473" s="30" t="s">
        <v>177</v>
      </c>
      <c r="AD473" s="30" t="s">
        <v>178</v>
      </c>
      <c r="AE473" s="30" t="s">
        <v>8</v>
      </c>
      <c r="AF473" s="30" t="s">
        <v>28</v>
      </c>
      <c r="AG473" s="30" t="s">
        <v>29</v>
      </c>
      <c r="AH473" s="30" t="s">
        <v>7</v>
      </c>
      <c r="AI473" s="30"/>
    </row>
    <row r="474" spans="1:35" x14ac:dyDescent="0.3">
      <c r="A474" s="30">
        <v>298</v>
      </c>
      <c r="B474" s="30" t="s">
        <v>569</v>
      </c>
      <c r="C474" s="30" t="s">
        <v>570</v>
      </c>
      <c r="D474" s="31">
        <v>46142</v>
      </c>
      <c r="E474" s="30">
        <v>1271</v>
      </c>
      <c r="F474" s="30">
        <v>0</v>
      </c>
      <c r="G474" s="32">
        <v>29712</v>
      </c>
      <c r="H474" s="30">
        <v>9395850961</v>
      </c>
      <c r="I474" s="30" t="s">
        <v>1048</v>
      </c>
      <c r="J474" s="30" t="s">
        <v>720</v>
      </c>
      <c r="K474" s="30" t="s">
        <v>29</v>
      </c>
      <c r="L474" s="30" t="s">
        <v>194</v>
      </c>
      <c r="M474" s="30" t="s">
        <v>195</v>
      </c>
      <c r="N474" s="30" t="s">
        <v>724</v>
      </c>
      <c r="O474" s="30">
        <v>14.97</v>
      </c>
      <c r="P474" s="30">
        <v>1984.13</v>
      </c>
      <c r="Q474" s="30" t="s">
        <v>168</v>
      </c>
      <c r="R474" s="30" t="s">
        <v>169</v>
      </c>
      <c r="S474" s="30"/>
      <c r="T474" s="30"/>
      <c r="U474" s="30"/>
      <c r="V474" s="30" t="s">
        <v>172</v>
      </c>
      <c r="W474" s="30" t="s">
        <v>282</v>
      </c>
      <c r="X474" s="30" t="s">
        <v>228</v>
      </c>
      <c r="Y474" s="30" t="s">
        <v>1047</v>
      </c>
      <c r="Z474" s="30">
        <v>10</v>
      </c>
      <c r="AA474" s="30" t="s">
        <v>575</v>
      </c>
      <c r="AB474" s="30">
        <v>11</v>
      </c>
      <c r="AC474" s="30" t="s">
        <v>177</v>
      </c>
      <c r="AD474" s="30" t="s">
        <v>178</v>
      </c>
      <c r="AE474" s="30" t="s">
        <v>8</v>
      </c>
      <c r="AF474" s="30" t="s">
        <v>28</v>
      </c>
      <c r="AG474" s="30" t="s">
        <v>29</v>
      </c>
      <c r="AH474" s="30" t="s">
        <v>7</v>
      </c>
      <c r="AI474" s="30"/>
    </row>
    <row r="475" spans="1:35" x14ac:dyDescent="0.3">
      <c r="A475" s="30">
        <v>299</v>
      </c>
      <c r="B475" s="30" t="s">
        <v>569</v>
      </c>
      <c r="C475" s="30" t="s">
        <v>570</v>
      </c>
      <c r="D475" s="31">
        <v>46142</v>
      </c>
      <c r="E475" s="30">
        <v>1271</v>
      </c>
      <c r="F475" s="30">
        <v>0</v>
      </c>
      <c r="G475" s="32">
        <v>22862033</v>
      </c>
      <c r="H475" s="30">
        <v>9418712994</v>
      </c>
      <c r="I475" s="30" t="s">
        <v>1049</v>
      </c>
      <c r="J475" s="30" t="s">
        <v>720</v>
      </c>
      <c r="K475" s="30" t="s">
        <v>29</v>
      </c>
      <c r="L475" s="30" t="s">
        <v>194</v>
      </c>
      <c r="M475" s="30" t="s">
        <v>195</v>
      </c>
      <c r="N475" s="30" t="s">
        <v>397</v>
      </c>
      <c r="O475" s="30">
        <v>15378.33</v>
      </c>
      <c r="P475" s="30">
        <v>1486.64</v>
      </c>
      <c r="Q475" s="30" t="s">
        <v>168</v>
      </c>
      <c r="R475" s="30" t="s">
        <v>169</v>
      </c>
      <c r="S475" s="30"/>
      <c r="T475" s="30"/>
      <c r="U475" s="30"/>
      <c r="V475" s="30" t="s">
        <v>172</v>
      </c>
      <c r="W475" s="30" t="s">
        <v>282</v>
      </c>
      <c r="X475" s="30" t="s">
        <v>228</v>
      </c>
      <c r="Y475" s="30" t="s">
        <v>1047</v>
      </c>
      <c r="Z475" s="30">
        <v>11</v>
      </c>
      <c r="AA475" s="30" t="s">
        <v>575</v>
      </c>
      <c r="AB475" s="30">
        <v>11</v>
      </c>
      <c r="AC475" s="30" t="s">
        <v>177</v>
      </c>
      <c r="AD475" s="30" t="s">
        <v>178</v>
      </c>
      <c r="AE475" s="30" t="s">
        <v>8</v>
      </c>
      <c r="AF475" s="30" t="s">
        <v>28</v>
      </c>
      <c r="AG475" s="30" t="s">
        <v>29</v>
      </c>
      <c r="AH475" s="30" t="s">
        <v>7</v>
      </c>
      <c r="AI475" s="30"/>
    </row>
    <row r="476" spans="1:35" x14ac:dyDescent="0.3">
      <c r="A476" s="30">
        <v>300</v>
      </c>
      <c r="B476" s="30" t="s">
        <v>569</v>
      </c>
      <c r="C476" s="30" t="s">
        <v>570</v>
      </c>
      <c r="D476" s="31">
        <v>46142</v>
      </c>
      <c r="E476" s="30">
        <v>1271</v>
      </c>
      <c r="F476" s="30">
        <v>0</v>
      </c>
      <c r="G476" s="32">
        <v>688598</v>
      </c>
      <c r="H476" s="30">
        <v>9419401592</v>
      </c>
      <c r="I476" s="30" t="s">
        <v>1050</v>
      </c>
      <c r="J476" s="30" t="s">
        <v>720</v>
      </c>
      <c r="K476" s="30" t="s">
        <v>29</v>
      </c>
      <c r="L476" s="30" t="s">
        <v>194</v>
      </c>
      <c r="M476" s="30" t="s">
        <v>195</v>
      </c>
      <c r="N476" s="30" t="s">
        <v>667</v>
      </c>
      <c r="O476" s="30">
        <v>73514.77</v>
      </c>
      <c r="P476" s="30">
        <v>9.3667999999999996</v>
      </c>
      <c r="Q476" s="30" t="s">
        <v>168</v>
      </c>
      <c r="R476" s="30" t="s">
        <v>169</v>
      </c>
      <c r="S476" s="30"/>
      <c r="T476" s="30"/>
      <c r="U476" s="30"/>
      <c r="V476" s="30" t="s">
        <v>172</v>
      </c>
      <c r="W476" s="30" t="s">
        <v>282</v>
      </c>
      <c r="X476" s="30" t="s">
        <v>228</v>
      </c>
      <c r="Y476" s="30" t="s">
        <v>1047</v>
      </c>
      <c r="Z476" s="30">
        <v>12</v>
      </c>
      <c r="AA476" s="30" t="s">
        <v>575</v>
      </c>
      <c r="AB476" s="30">
        <v>11</v>
      </c>
      <c r="AC476" s="30" t="s">
        <v>177</v>
      </c>
      <c r="AD476" s="30" t="s">
        <v>178</v>
      </c>
      <c r="AE476" s="30" t="s">
        <v>8</v>
      </c>
      <c r="AF476" s="30" t="s">
        <v>28</v>
      </c>
      <c r="AG476" s="30" t="s">
        <v>29</v>
      </c>
      <c r="AH476" s="30" t="s">
        <v>7</v>
      </c>
      <c r="AI476" s="30"/>
    </row>
    <row r="477" spans="1:35" x14ac:dyDescent="0.3">
      <c r="A477" s="30">
        <v>301</v>
      </c>
      <c r="B477" s="30" t="s">
        <v>569</v>
      </c>
      <c r="C477" s="30" t="s">
        <v>570</v>
      </c>
      <c r="D477" s="31">
        <v>46142</v>
      </c>
      <c r="E477" s="30">
        <v>1310</v>
      </c>
      <c r="F477" s="30">
        <v>0</v>
      </c>
      <c r="G477" s="32">
        <v>1124326177</v>
      </c>
      <c r="H477" s="30">
        <v>10543727769</v>
      </c>
      <c r="I477" s="30" t="s">
        <v>1051</v>
      </c>
      <c r="J477" s="30" t="s">
        <v>689</v>
      </c>
      <c r="K477" s="30" t="s">
        <v>690</v>
      </c>
      <c r="L477" s="30" t="s">
        <v>194</v>
      </c>
      <c r="M477" s="30" t="s">
        <v>195</v>
      </c>
      <c r="N477" s="30" t="s">
        <v>397</v>
      </c>
      <c r="O477" s="30">
        <v>755905.42</v>
      </c>
      <c r="P477" s="30">
        <v>1487.39</v>
      </c>
      <c r="Q477" s="30" t="s">
        <v>168</v>
      </c>
      <c r="R477" s="30" t="s">
        <v>169</v>
      </c>
      <c r="S477" s="30"/>
      <c r="T477" s="30"/>
      <c r="U477" s="30"/>
      <c r="V477" s="30" t="s">
        <v>172</v>
      </c>
      <c r="W477" s="30" t="s">
        <v>282</v>
      </c>
      <c r="X477" s="30" t="s">
        <v>228</v>
      </c>
      <c r="Y477" s="30" t="s">
        <v>1052</v>
      </c>
      <c r="Z477" s="30">
        <v>3</v>
      </c>
      <c r="AA477" s="30" t="s">
        <v>575</v>
      </c>
      <c r="AB477" s="30">
        <v>11</v>
      </c>
      <c r="AC477" s="30" t="s">
        <v>177</v>
      </c>
      <c r="AD477" s="30" t="s">
        <v>178</v>
      </c>
      <c r="AE477" s="30" t="s">
        <v>8</v>
      </c>
      <c r="AF477" s="30" t="s">
        <v>28</v>
      </c>
      <c r="AG477" s="30" t="s">
        <v>13</v>
      </c>
      <c r="AH477" s="30" t="s">
        <v>7</v>
      </c>
      <c r="AI477" s="30"/>
    </row>
    <row r="478" spans="1:35" x14ac:dyDescent="0.3">
      <c r="A478" s="30">
        <v>302</v>
      </c>
      <c r="B478" s="30" t="s">
        <v>569</v>
      </c>
      <c r="C478" s="30" t="s">
        <v>570</v>
      </c>
      <c r="D478" s="31">
        <v>46142</v>
      </c>
      <c r="E478" s="30">
        <v>1311</v>
      </c>
      <c r="F478" s="30">
        <v>0</v>
      </c>
      <c r="G478" s="32">
        <v>488364</v>
      </c>
      <c r="H478" s="30">
        <v>10544216133</v>
      </c>
      <c r="I478" s="30" t="s">
        <v>1053</v>
      </c>
      <c r="J478" s="30" t="s">
        <v>720</v>
      </c>
      <c r="K478" s="30" t="s">
        <v>29</v>
      </c>
      <c r="L478" s="30" t="s">
        <v>194</v>
      </c>
      <c r="M478" s="30" t="s">
        <v>195</v>
      </c>
      <c r="N478" s="30" t="s">
        <v>721</v>
      </c>
      <c r="O478" s="30">
        <v>281</v>
      </c>
      <c r="P478" s="30">
        <v>1737.95</v>
      </c>
      <c r="Q478" s="30" t="s">
        <v>168</v>
      </c>
      <c r="R478" s="30" t="s">
        <v>169</v>
      </c>
      <c r="S478" s="30"/>
      <c r="T478" s="30"/>
      <c r="U478" s="30"/>
      <c r="V478" s="30" t="s">
        <v>172</v>
      </c>
      <c r="W478" s="30" t="s">
        <v>282</v>
      </c>
      <c r="X478" s="30" t="s">
        <v>228</v>
      </c>
      <c r="Y478" s="30" t="s">
        <v>1054</v>
      </c>
      <c r="Z478" s="30">
        <v>9</v>
      </c>
      <c r="AA478" s="30" t="s">
        <v>575</v>
      </c>
      <c r="AB478" s="30">
        <v>11</v>
      </c>
      <c r="AC478" s="30" t="s">
        <v>177</v>
      </c>
      <c r="AD478" s="30" t="s">
        <v>178</v>
      </c>
      <c r="AE478" s="30" t="s">
        <v>8</v>
      </c>
      <c r="AF478" s="30" t="s">
        <v>28</v>
      </c>
      <c r="AG478" s="30" t="s">
        <v>29</v>
      </c>
      <c r="AH478" s="30" t="s">
        <v>7</v>
      </c>
      <c r="AI478" s="30"/>
    </row>
    <row r="479" spans="1:35" x14ac:dyDescent="0.3">
      <c r="A479" s="30">
        <v>303</v>
      </c>
      <c r="B479" s="30" t="s">
        <v>569</v>
      </c>
      <c r="C479" s="30" t="s">
        <v>570</v>
      </c>
      <c r="D479" s="31">
        <v>46142</v>
      </c>
      <c r="E479" s="30">
        <v>1311</v>
      </c>
      <c r="F479" s="30">
        <v>0</v>
      </c>
      <c r="G479" s="32">
        <v>134691</v>
      </c>
      <c r="H479" s="30">
        <v>10544350824</v>
      </c>
      <c r="I479" s="30" t="s">
        <v>1055</v>
      </c>
      <c r="J479" s="30" t="s">
        <v>720</v>
      </c>
      <c r="K479" s="30" t="s">
        <v>29</v>
      </c>
      <c r="L479" s="30" t="s">
        <v>194</v>
      </c>
      <c r="M479" s="30" t="s">
        <v>195</v>
      </c>
      <c r="N479" s="30" t="s">
        <v>724</v>
      </c>
      <c r="O479" s="30">
        <v>67.42</v>
      </c>
      <c r="P479" s="30">
        <v>1997.79</v>
      </c>
      <c r="Q479" s="30" t="s">
        <v>168</v>
      </c>
      <c r="R479" s="30" t="s">
        <v>169</v>
      </c>
      <c r="S479" s="30"/>
      <c r="T479" s="30"/>
      <c r="U479" s="30"/>
      <c r="V479" s="30" t="s">
        <v>172</v>
      </c>
      <c r="W479" s="30" t="s">
        <v>282</v>
      </c>
      <c r="X479" s="30" t="s">
        <v>228</v>
      </c>
      <c r="Y479" s="30" t="s">
        <v>1054</v>
      </c>
      <c r="Z479" s="30">
        <v>10</v>
      </c>
      <c r="AA479" s="30" t="s">
        <v>575</v>
      </c>
      <c r="AB479" s="30">
        <v>11</v>
      </c>
      <c r="AC479" s="30" t="s">
        <v>177</v>
      </c>
      <c r="AD479" s="30" t="s">
        <v>178</v>
      </c>
      <c r="AE479" s="30" t="s">
        <v>8</v>
      </c>
      <c r="AF479" s="30" t="s">
        <v>28</v>
      </c>
      <c r="AG479" s="30" t="s">
        <v>29</v>
      </c>
      <c r="AH479" s="30" t="s">
        <v>7</v>
      </c>
      <c r="AI479" s="30"/>
    </row>
    <row r="480" spans="1:35" x14ac:dyDescent="0.3">
      <c r="A480" s="30">
        <v>304</v>
      </c>
      <c r="B480" s="30" t="s">
        <v>569</v>
      </c>
      <c r="C480" s="30" t="s">
        <v>570</v>
      </c>
      <c r="D480" s="31">
        <v>46142</v>
      </c>
      <c r="E480" s="30">
        <v>1311</v>
      </c>
      <c r="F480" s="30">
        <v>0</v>
      </c>
      <c r="G480" s="32">
        <v>21923980</v>
      </c>
      <c r="H480" s="30">
        <v>10566274804</v>
      </c>
      <c r="I480" s="30" t="s">
        <v>1056</v>
      </c>
      <c r="J480" s="30" t="s">
        <v>720</v>
      </c>
      <c r="K480" s="30" t="s">
        <v>29</v>
      </c>
      <c r="L480" s="30" t="s">
        <v>194</v>
      </c>
      <c r="M480" s="30" t="s">
        <v>195</v>
      </c>
      <c r="N480" s="30" t="s">
        <v>397</v>
      </c>
      <c r="O480" s="30">
        <v>14739.9</v>
      </c>
      <c r="P480" s="30">
        <v>1487.39</v>
      </c>
      <c r="Q480" s="30" t="s">
        <v>168</v>
      </c>
      <c r="R480" s="30" t="s">
        <v>169</v>
      </c>
      <c r="S480" s="30"/>
      <c r="T480" s="30"/>
      <c r="U480" s="30"/>
      <c r="V480" s="30" t="s">
        <v>172</v>
      </c>
      <c r="W480" s="30" t="s">
        <v>282</v>
      </c>
      <c r="X480" s="30" t="s">
        <v>228</v>
      </c>
      <c r="Y480" s="30" t="s">
        <v>1054</v>
      </c>
      <c r="Z480" s="30">
        <v>11</v>
      </c>
      <c r="AA480" s="30" t="s">
        <v>575</v>
      </c>
      <c r="AB480" s="30">
        <v>11</v>
      </c>
      <c r="AC480" s="30" t="s">
        <v>177</v>
      </c>
      <c r="AD480" s="30" t="s">
        <v>178</v>
      </c>
      <c r="AE480" s="30" t="s">
        <v>8</v>
      </c>
      <c r="AF480" s="30" t="s">
        <v>28</v>
      </c>
      <c r="AG480" s="30" t="s">
        <v>29</v>
      </c>
      <c r="AH480" s="30" t="s">
        <v>7</v>
      </c>
      <c r="AI480" s="30"/>
    </row>
    <row r="481" spans="1:35" x14ac:dyDescent="0.3">
      <c r="A481" s="30">
        <v>305</v>
      </c>
      <c r="B481" s="30" t="s">
        <v>569</v>
      </c>
      <c r="C481" s="30" t="s">
        <v>570</v>
      </c>
      <c r="D481" s="31">
        <v>46142</v>
      </c>
      <c r="E481" s="30">
        <v>1311</v>
      </c>
      <c r="F481" s="30">
        <v>0</v>
      </c>
      <c r="G481" s="32">
        <v>381362</v>
      </c>
      <c r="H481" s="30">
        <v>10566656166</v>
      </c>
      <c r="I481" s="30" t="s">
        <v>1057</v>
      </c>
      <c r="J481" s="30" t="s">
        <v>720</v>
      </c>
      <c r="K481" s="30" t="s">
        <v>29</v>
      </c>
      <c r="L481" s="30" t="s">
        <v>194</v>
      </c>
      <c r="M481" s="30" t="s">
        <v>195</v>
      </c>
      <c r="N481" s="30" t="s">
        <v>667</v>
      </c>
      <c r="O481" s="30">
        <v>40834.54</v>
      </c>
      <c r="P481" s="30">
        <v>9.3391999999999999</v>
      </c>
      <c r="Q481" s="30" t="s">
        <v>168</v>
      </c>
      <c r="R481" s="30" t="s">
        <v>169</v>
      </c>
      <c r="S481" s="30"/>
      <c r="T481" s="30"/>
      <c r="U481" s="30"/>
      <c r="V481" s="30" t="s">
        <v>172</v>
      </c>
      <c r="W481" s="30" t="s">
        <v>282</v>
      </c>
      <c r="X481" s="30" t="s">
        <v>228</v>
      </c>
      <c r="Y481" s="30" t="s">
        <v>1054</v>
      </c>
      <c r="Z481" s="30">
        <v>12</v>
      </c>
      <c r="AA481" s="30" t="s">
        <v>575</v>
      </c>
      <c r="AB481" s="30">
        <v>11</v>
      </c>
      <c r="AC481" s="30" t="s">
        <v>177</v>
      </c>
      <c r="AD481" s="30" t="s">
        <v>178</v>
      </c>
      <c r="AE481" s="30" t="s">
        <v>8</v>
      </c>
      <c r="AF481" s="30" t="s">
        <v>28</v>
      </c>
      <c r="AG481" s="30" t="s">
        <v>29</v>
      </c>
      <c r="AH481" s="30" t="s">
        <v>7</v>
      </c>
      <c r="AI481" s="30"/>
    </row>
    <row r="482" spans="1:35" x14ac:dyDescent="0.3">
      <c r="A482" s="30">
        <v>306</v>
      </c>
      <c r="B482" s="30" t="s">
        <v>569</v>
      </c>
      <c r="C482" s="30" t="s">
        <v>570</v>
      </c>
      <c r="D482" s="31">
        <v>46142</v>
      </c>
      <c r="E482" s="30">
        <v>1309</v>
      </c>
      <c r="F482" s="30">
        <v>0</v>
      </c>
      <c r="G482" s="32">
        <v>1826602402</v>
      </c>
      <c r="H482" s="30">
        <v>12393258568</v>
      </c>
      <c r="I482" s="30" t="s">
        <v>1058</v>
      </c>
      <c r="J482" s="30" t="s">
        <v>685</v>
      </c>
      <c r="K482" s="30" t="s">
        <v>686</v>
      </c>
      <c r="L482" s="30" t="s">
        <v>194</v>
      </c>
      <c r="M482" s="30" t="s">
        <v>195</v>
      </c>
      <c r="N482" s="30" t="s">
        <v>397</v>
      </c>
      <c r="O482" s="30">
        <v>1228058.82</v>
      </c>
      <c r="P482" s="30">
        <v>1487.39</v>
      </c>
      <c r="Q482" s="30" t="s">
        <v>168</v>
      </c>
      <c r="R482" s="30" t="s">
        <v>169</v>
      </c>
      <c r="S482" s="30"/>
      <c r="T482" s="30"/>
      <c r="U482" s="30"/>
      <c r="V482" s="30" t="s">
        <v>172</v>
      </c>
      <c r="W482" s="30" t="s">
        <v>282</v>
      </c>
      <c r="X482" s="30" t="s">
        <v>228</v>
      </c>
      <c r="Y482" s="30" t="s">
        <v>1059</v>
      </c>
      <c r="Z482" s="30">
        <v>3</v>
      </c>
      <c r="AA482" s="30" t="s">
        <v>575</v>
      </c>
      <c r="AB482" s="30">
        <v>11</v>
      </c>
      <c r="AC482" s="30" t="s">
        <v>177</v>
      </c>
      <c r="AD482" s="30" t="s">
        <v>178</v>
      </c>
      <c r="AE482" s="30" t="s">
        <v>8</v>
      </c>
      <c r="AF482" s="30" t="s">
        <v>38</v>
      </c>
      <c r="AG482" s="30" t="s">
        <v>12</v>
      </c>
      <c r="AH482" s="30" t="s">
        <v>7</v>
      </c>
      <c r="AI482" s="30"/>
    </row>
    <row r="483" spans="1:35" x14ac:dyDescent="0.3">
      <c r="A483" s="30">
        <v>307</v>
      </c>
      <c r="B483" s="30" t="s">
        <v>569</v>
      </c>
      <c r="C483" s="30" t="s">
        <v>570</v>
      </c>
      <c r="D483" s="31">
        <v>46142</v>
      </c>
      <c r="E483" s="30">
        <v>1302</v>
      </c>
      <c r="F483" s="30">
        <v>0</v>
      </c>
      <c r="G483" s="32">
        <v>1362233129</v>
      </c>
      <c r="H483" s="30">
        <v>13755491697</v>
      </c>
      <c r="I483" s="30" t="s">
        <v>1060</v>
      </c>
      <c r="J483" s="30" t="s">
        <v>693</v>
      </c>
      <c r="K483" s="30" t="s">
        <v>694</v>
      </c>
      <c r="L483" s="30" t="s">
        <v>194</v>
      </c>
      <c r="M483" s="30" t="s">
        <v>195</v>
      </c>
      <c r="N483" s="30" t="s">
        <v>167</v>
      </c>
      <c r="O483" s="30">
        <v>1362233129</v>
      </c>
      <c r="P483" s="30">
        <v>1</v>
      </c>
      <c r="Q483" s="30" t="s">
        <v>168</v>
      </c>
      <c r="R483" s="30" t="s">
        <v>169</v>
      </c>
      <c r="S483" s="30"/>
      <c r="T483" s="30"/>
      <c r="U483" s="30"/>
      <c r="V483" s="30" t="s">
        <v>172</v>
      </c>
      <c r="W483" s="30" t="s">
        <v>282</v>
      </c>
      <c r="X483" s="30" t="s">
        <v>228</v>
      </c>
      <c r="Y483" s="30" t="s">
        <v>1061</v>
      </c>
      <c r="Z483" s="30">
        <v>7</v>
      </c>
      <c r="AA483" s="30" t="s">
        <v>575</v>
      </c>
      <c r="AB483" s="30">
        <v>11</v>
      </c>
      <c r="AC483" s="30" t="s">
        <v>177</v>
      </c>
      <c r="AD483" s="30" t="s">
        <v>178</v>
      </c>
      <c r="AE483" s="30" t="s">
        <v>8</v>
      </c>
      <c r="AF483" s="30" t="s">
        <v>28</v>
      </c>
      <c r="AG483" s="30" t="s">
        <v>11</v>
      </c>
      <c r="AH483" s="30" t="s">
        <v>7</v>
      </c>
      <c r="AI483" s="30" t="s">
        <v>34</v>
      </c>
    </row>
    <row r="484" spans="1:35" x14ac:dyDescent="0.3">
      <c r="A484" s="30">
        <v>308</v>
      </c>
      <c r="B484" s="30" t="s">
        <v>569</v>
      </c>
      <c r="C484" s="30" t="s">
        <v>570</v>
      </c>
      <c r="D484" s="31">
        <v>46142</v>
      </c>
      <c r="E484" s="30">
        <v>1302</v>
      </c>
      <c r="F484" s="30">
        <v>0</v>
      </c>
      <c r="G484" s="32">
        <v>859799016</v>
      </c>
      <c r="H484" s="30">
        <v>14615290713</v>
      </c>
      <c r="I484" s="30" t="s">
        <v>1062</v>
      </c>
      <c r="J484" s="30" t="s">
        <v>697</v>
      </c>
      <c r="K484" s="30" t="s">
        <v>698</v>
      </c>
      <c r="L484" s="30" t="s">
        <v>194</v>
      </c>
      <c r="M484" s="30" t="s">
        <v>195</v>
      </c>
      <c r="N484" s="30" t="s">
        <v>167</v>
      </c>
      <c r="O484" s="30">
        <v>859799016</v>
      </c>
      <c r="P484" s="30">
        <v>1</v>
      </c>
      <c r="Q484" s="30" t="s">
        <v>168</v>
      </c>
      <c r="R484" s="30" t="s">
        <v>169</v>
      </c>
      <c r="S484" s="30"/>
      <c r="T484" s="30"/>
      <c r="U484" s="30"/>
      <c r="V484" s="30" t="s">
        <v>172</v>
      </c>
      <c r="W484" s="30" t="s">
        <v>282</v>
      </c>
      <c r="X484" s="30" t="s">
        <v>228</v>
      </c>
      <c r="Y484" s="30" t="s">
        <v>1061</v>
      </c>
      <c r="Z484" s="30">
        <v>8</v>
      </c>
      <c r="AA484" s="30" t="s">
        <v>575</v>
      </c>
      <c r="AB484" s="30">
        <v>11</v>
      </c>
      <c r="AC484" s="30" t="s">
        <v>177</v>
      </c>
      <c r="AD484" s="30" t="s">
        <v>178</v>
      </c>
      <c r="AE484" s="30" t="s">
        <v>8</v>
      </c>
      <c r="AF484" s="30" t="s">
        <v>28</v>
      </c>
      <c r="AG484" s="30" t="s">
        <v>11</v>
      </c>
      <c r="AH484" s="30" t="s">
        <v>7</v>
      </c>
      <c r="AI484" s="30" t="s">
        <v>34</v>
      </c>
    </row>
    <row r="485" spans="1:35" x14ac:dyDescent="0.3">
      <c r="A485" s="30">
        <v>309</v>
      </c>
      <c r="B485" s="30" t="s">
        <v>569</v>
      </c>
      <c r="C485" s="30" t="s">
        <v>570</v>
      </c>
      <c r="D485" s="31">
        <v>46142</v>
      </c>
      <c r="E485" s="30">
        <v>1302</v>
      </c>
      <c r="F485" s="30">
        <v>0</v>
      </c>
      <c r="G485" s="32">
        <v>2162084095</v>
      </c>
      <c r="H485" s="30">
        <v>16777374808</v>
      </c>
      <c r="I485" s="30" t="s">
        <v>1063</v>
      </c>
      <c r="J485" s="30" t="s">
        <v>700</v>
      </c>
      <c r="K485" s="30" t="s">
        <v>701</v>
      </c>
      <c r="L485" s="30" t="s">
        <v>194</v>
      </c>
      <c r="M485" s="30" t="s">
        <v>195</v>
      </c>
      <c r="N485" s="30" t="s">
        <v>167</v>
      </c>
      <c r="O485" s="30">
        <v>2162084095</v>
      </c>
      <c r="P485" s="30">
        <v>1</v>
      </c>
      <c r="Q485" s="30" t="s">
        <v>168</v>
      </c>
      <c r="R485" s="30" t="s">
        <v>169</v>
      </c>
      <c r="S485" s="30"/>
      <c r="T485" s="30"/>
      <c r="U485" s="30"/>
      <c r="V485" s="30" t="s">
        <v>172</v>
      </c>
      <c r="W485" s="30" t="s">
        <v>282</v>
      </c>
      <c r="X485" s="30" t="s">
        <v>228</v>
      </c>
      <c r="Y485" s="30" t="s">
        <v>1061</v>
      </c>
      <c r="Z485" s="30">
        <v>9</v>
      </c>
      <c r="AA485" s="30" t="s">
        <v>575</v>
      </c>
      <c r="AB485" s="30">
        <v>11</v>
      </c>
      <c r="AC485" s="30" t="s">
        <v>177</v>
      </c>
      <c r="AD485" s="30" t="s">
        <v>178</v>
      </c>
      <c r="AE485" s="30" t="s">
        <v>8</v>
      </c>
      <c r="AF485" s="30" t="s">
        <v>28</v>
      </c>
      <c r="AG485" s="30" t="s">
        <v>11</v>
      </c>
      <c r="AH485" s="30" t="s">
        <v>7</v>
      </c>
      <c r="AI485" s="30" t="s">
        <v>34</v>
      </c>
    </row>
    <row r="486" spans="1:35" x14ac:dyDescent="0.3">
      <c r="A486" s="30">
        <v>310</v>
      </c>
      <c r="B486" s="30" t="s">
        <v>569</v>
      </c>
      <c r="C486" s="30" t="s">
        <v>570</v>
      </c>
      <c r="D486" s="31">
        <v>46142</v>
      </c>
      <c r="E486" s="30">
        <v>1301</v>
      </c>
      <c r="F486" s="30">
        <v>0</v>
      </c>
      <c r="G486" s="32">
        <v>96720939</v>
      </c>
      <c r="H486" s="30">
        <v>16874095747</v>
      </c>
      <c r="I486" s="30" t="s">
        <v>1064</v>
      </c>
      <c r="J486" s="30" t="s">
        <v>703</v>
      </c>
      <c r="K486" s="30" t="s">
        <v>704</v>
      </c>
      <c r="L486" s="30" t="s">
        <v>194</v>
      </c>
      <c r="M486" s="30" t="s">
        <v>195</v>
      </c>
      <c r="N486" s="30" t="s">
        <v>167</v>
      </c>
      <c r="O486" s="30">
        <v>96720939</v>
      </c>
      <c r="P486" s="30">
        <v>1</v>
      </c>
      <c r="Q486" s="30" t="s">
        <v>168</v>
      </c>
      <c r="R486" s="30" t="s">
        <v>169</v>
      </c>
      <c r="S486" s="30"/>
      <c r="T486" s="30"/>
      <c r="U486" s="30"/>
      <c r="V486" s="30" t="s">
        <v>172</v>
      </c>
      <c r="W486" s="30" t="s">
        <v>282</v>
      </c>
      <c r="X486" s="30" t="s">
        <v>228</v>
      </c>
      <c r="Y486" s="30" t="s">
        <v>1065</v>
      </c>
      <c r="Z486" s="30">
        <v>5</v>
      </c>
      <c r="AA486" s="30" t="s">
        <v>575</v>
      </c>
      <c r="AB486" s="30">
        <v>11</v>
      </c>
      <c r="AC486" s="30" t="s">
        <v>177</v>
      </c>
      <c r="AD486" s="30" t="s">
        <v>178</v>
      </c>
      <c r="AE486" s="30" t="s">
        <v>8</v>
      </c>
      <c r="AF486" s="30" t="s">
        <v>45</v>
      </c>
      <c r="AG486" s="30" t="s">
        <v>51</v>
      </c>
      <c r="AH486" s="30" t="s">
        <v>7</v>
      </c>
      <c r="AI486" s="30" t="s">
        <v>52</v>
      </c>
    </row>
    <row r="487" spans="1:35" x14ac:dyDescent="0.3">
      <c r="A487" s="30">
        <v>311</v>
      </c>
      <c r="B487" s="30" t="s">
        <v>569</v>
      </c>
      <c r="C487" s="30" t="s">
        <v>570</v>
      </c>
      <c r="D487" s="31">
        <v>46142</v>
      </c>
      <c r="E487" s="30">
        <v>1301</v>
      </c>
      <c r="F487" s="30">
        <v>0</v>
      </c>
      <c r="G487" s="32">
        <v>50219834</v>
      </c>
      <c r="H487" s="30">
        <v>16924315581</v>
      </c>
      <c r="I487" s="30" t="s">
        <v>1066</v>
      </c>
      <c r="J487" s="30" t="s">
        <v>703</v>
      </c>
      <c r="K487" s="30" t="s">
        <v>704</v>
      </c>
      <c r="L487" s="30" t="s">
        <v>194</v>
      </c>
      <c r="M487" s="30" t="s">
        <v>195</v>
      </c>
      <c r="N487" s="30" t="s">
        <v>397</v>
      </c>
      <c r="O487" s="30">
        <v>33763.730000000003</v>
      </c>
      <c r="P487" s="30">
        <v>1487.39</v>
      </c>
      <c r="Q487" s="30" t="s">
        <v>168</v>
      </c>
      <c r="R487" s="30" t="s">
        <v>169</v>
      </c>
      <c r="S487" s="30"/>
      <c r="T487" s="30"/>
      <c r="U487" s="30"/>
      <c r="V487" s="30" t="s">
        <v>172</v>
      </c>
      <c r="W487" s="30" t="s">
        <v>282</v>
      </c>
      <c r="X487" s="30" t="s">
        <v>228</v>
      </c>
      <c r="Y487" s="30" t="s">
        <v>1065</v>
      </c>
      <c r="Z487" s="30">
        <v>6</v>
      </c>
      <c r="AA487" s="30" t="s">
        <v>575</v>
      </c>
      <c r="AB487" s="30">
        <v>11</v>
      </c>
      <c r="AC487" s="30" t="s">
        <v>177</v>
      </c>
      <c r="AD487" s="30" t="s">
        <v>178</v>
      </c>
      <c r="AE487" s="30" t="s">
        <v>8</v>
      </c>
      <c r="AF487" s="30" t="s">
        <v>45</v>
      </c>
      <c r="AG487" s="30" t="s">
        <v>51</v>
      </c>
      <c r="AH487" s="30" t="s">
        <v>7</v>
      </c>
      <c r="AI487" s="30" t="s">
        <v>52</v>
      </c>
    </row>
    <row r="488" spans="1:35" x14ac:dyDescent="0.3">
      <c r="A488" s="30">
        <v>312</v>
      </c>
      <c r="B488" s="30" t="s">
        <v>569</v>
      </c>
      <c r="C488" s="30" t="s">
        <v>570</v>
      </c>
      <c r="D488" s="31">
        <v>46142</v>
      </c>
      <c r="E488" s="30">
        <v>1312</v>
      </c>
      <c r="F488" s="30">
        <v>0</v>
      </c>
      <c r="G488" s="32">
        <v>756457</v>
      </c>
      <c r="H488" s="30">
        <v>16925072038</v>
      </c>
      <c r="I488" s="30" t="s">
        <v>1067</v>
      </c>
      <c r="J488" s="30" t="s">
        <v>387</v>
      </c>
      <c r="K488" s="30" t="s">
        <v>388</v>
      </c>
      <c r="L488" s="30" t="s">
        <v>194</v>
      </c>
      <c r="M488" s="30" t="s">
        <v>195</v>
      </c>
      <c r="N488" s="30" t="s">
        <v>397</v>
      </c>
      <c r="O488" s="30">
        <v>508.58</v>
      </c>
      <c r="P488" s="30">
        <v>1487.39</v>
      </c>
      <c r="Q488" s="30" t="s">
        <v>168</v>
      </c>
      <c r="R488" s="30" t="s">
        <v>169</v>
      </c>
      <c r="S488" s="30"/>
      <c r="T488" s="30"/>
      <c r="U488" s="30"/>
      <c r="V488" s="30" t="s">
        <v>172</v>
      </c>
      <c r="W488" s="30" t="s">
        <v>282</v>
      </c>
      <c r="X488" s="30" t="s">
        <v>228</v>
      </c>
      <c r="Y488" s="30" t="s">
        <v>1068</v>
      </c>
      <c r="Z488" s="30">
        <v>4</v>
      </c>
      <c r="AA488" s="30" t="s">
        <v>197</v>
      </c>
      <c r="AB488" s="30">
        <v>11</v>
      </c>
      <c r="AC488" s="30" t="s">
        <v>177</v>
      </c>
      <c r="AD488" s="30" t="s">
        <v>178</v>
      </c>
      <c r="AE488" s="30" t="s">
        <v>8</v>
      </c>
      <c r="AF488" s="30" t="s">
        <v>53</v>
      </c>
      <c r="AG488" s="30" t="s">
        <v>53</v>
      </c>
      <c r="AH488" s="30" t="s">
        <v>7</v>
      </c>
      <c r="AI488" s="30" t="s">
        <v>54</v>
      </c>
    </row>
    <row r="489" spans="1:35" x14ac:dyDescent="0.3">
      <c r="A489" s="30">
        <v>313</v>
      </c>
      <c r="B489" s="30" t="s">
        <v>569</v>
      </c>
      <c r="C489" s="30" t="s">
        <v>570</v>
      </c>
      <c r="D489" s="31">
        <v>46142</v>
      </c>
      <c r="E489" s="30">
        <v>1312</v>
      </c>
      <c r="F489" s="30">
        <v>0</v>
      </c>
      <c r="G489" s="32">
        <v>2521543</v>
      </c>
      <c r="H489" s="30">
        <v>16927593581</v>
      </c>
      <c r="I489" s="30" t="s">
        <v>1069</v>
      </c>
      <c r="J489" s="30" t="s">
        <v>387</v>
      </c>
      <c r="K489" s="30" t="s">
        <v>388</v>
      </c>
      <c r="L489" s="30" t="s">
        <v>194</v>
      </c>
      <c r="M489" s="30" t="s">
        <v>195</v>
      </c>
      <c r="N489" s="30" t="s">
        <v>397</v>
      </c>
      <c r="O489" s="30">
        <v>1695.28</v>
      </c>
      <c r="P489" s="30">
        <v>1487.39</v>
      </c>
      <c r="Q489" s="30" t="s">
        <v>168</v>
      </c>
      <c r="R489" s="30" t="s">
        <v>169</v>
      </c>
      <c r="S489" s="30"/>
      <c r="T489" s="30"/>
      <c r="U489" s="30"/>
      <c r="V489" s="30" t="s">
        <v>172</v>
      </c>
      <c r="W489" s="30" t="s">
        <v>282</v>
      </c>
      <c r="X489" s="30" t="s">
        <v>228</v>
      </c>
      <c r="Y489" s="30" t="s">
        <v>1068</v>
      </c>
      <c r="Z489" s="30">
        <v>5</v>
      </c>
      <c r="AA489" s="30" t="s">
        <v>197</v>
      </c>
      <c r="AB489" s="30">
        <v>11</v>
      </c>
      <c r="AC489" s="30" t="s">
        <v>177</v>
      </c>
      <c r="AD489" s="30" t="s">
        <v>178</v>
      </c>
      <c r="AE489" s="30" t="s">
        <v>8</v>
      </c>
      <c r="AF489" s="30" t="s">
        <v>53</v>
      </c>
      <c r="AG489" s="30" t="s">
        <v>53</v>
      </c>
      <c r="AH489" s="30" t="s">
        <v>7</v>
      </c>
      <c r="AI489" s="30" t="s">
        <v>54</v>
      </c>
    </row>
    <row r="490" spans="1:35" x14ac:dyDescent="0.3">
      <c r="A490" s="30">
        <v>314</v>
      </c>
      <c r="B490" s="30" t="s">
        <v>569</v>
      </c>
      <c r="C490" s="30" t="s">
        <v>570</v>
      </c>
      <c r="D490" s="31">
        <v>46142</v>
      </c>
      <c r="E490" s="30">
        <v>1298</v>
      </c>
      <c r="F490" s="30">
        <v>0</v>
      </c>
      <c r="G490" s="32">
        <v>3289235335</v>
      </c>
      <c r="H490" s="30">
        <v>20216828916</v>
      </c>
      <c r="I490" s="30" t="s">
        <v>1070</v>
      </c>
      <c r="J490" s="30" t="s">
        <v>572</v>
      </c>
      <c r="K490" s="30" t="s">
        <v>573</v>
      </c>
      <c r="L490" s="30" t="s">
        <v>194</v>
      </c>
      <c r="M490" s="30" t="s">
        <v>195</v>
      </c>
      <c r="N490" s="30" t="s">
        <v>397</v>
      </c>
      <c r="O490" s="30">
        <v>2212529.8199999998</v>
      </c>
      <c r="P490" s="30">
        <v>1486.64</v>
      </c>
      <c r="Q490" s="30" t="s">
        <v>168</v>
      </c>
      <c r="R490" s="30" t="s">
        <v>169</v>
      </c>
      <c r="S490" s="30"/>
      <c r="T490" s="30"/>
      <c r="U490" s="30"/>
      <c r="V490" s="30" t="s">
        <v>172</v>
      </c>
      <c r="W490" s="30" t="s">
        <v>282</v>
      </c>
      <c r="X490" s="30" t="s">
        <v>228</v>
      </c>
      <c r="Y490" s="30" t="s">
        <v>1071</v>
      </c>
      <c r="Z490" s="30">
        <v>7</v>
      </c>
      <c r="AA490" s="30" t="s">
        <v>575</v>
      </c>
      <c r="AB490" s="30">
        <v>11</v>
      </c>
      <c r="AC490" s="30" t="s">
        <v>177</v>
      </c>
      <c r="AD490" s="30" t="s">
        <v>178</v>
      </c>
      <c r="AE490" s="30" t="s">
        <v>8</v>
      </c>
      <c r="AF490" s="30" t="s">
        <v>28</v>
      </c>
      <c r="AG490" s="30" t="s">
        <v>9</v>
      </c>
      <c r="AH490" s="30" t="s">
        <v>7</v>
      </c>
      <c r="AI490" s="30"/>
    </row>
    <row r="491" spans="1:35" x14ac:dyDescent="0.3">
      <c r="A491" s="30">
        <v>315</v>
      </c>
      <c r="B491" s="30" t="s">
        <v>569</v>
      </c>
      <c r="C491" s="30" t="s">
        <v>570</v>
      </c>
      <c r="D491" s="31">
        <v>46142</v>
      </c>
      <c r="E491" s="30">
        <v>1298</v>
      </c>
      <c r="F491" s="30">
        <v>0</v>
      </c>
      <c r="G491" s="32">
        <v>2074061068</v>
      </c>
      <c r="H491" s="30">
        <v>22290889984</v>
      </c>
      <c r="I491" s="30" t="s">
        <v>1072</v>
      </c>
      <c r="J491" s="30" t="s">
        <v>572</v>
      </c>
      <c r="K491" s="30" t="s">
        <v>573</v>
      </c>
      <c r="L491" s="30" t="s">
        <v>194</v>
      </c>
      <c r="M491" s="30" t="s">
        <v>195</v>
      </c>
      <c r="N491" s="30" t="s">
        <v>397</v>
      </c>
      <c r="O491" s="30">
        <v>1395133.37</v>
      </c>
      <c r="P491" s="30">
        <v>1486.64</v>
      </c>
      <c r="Q491" s="30" t="s">
        <v>168</v>
      </c>
      <c r="R491" s="30" t="s">
        <v>169</v>
      </c>
      <c r="S491" s="30"/>
      <c r="T491" s="30"/>
      <c r="U491" s="30"/>
      <c r="V491" s="30" t="s">
        <v>172</v>
      </c>
      <c r="W491" s="30" t="s">
        <v>282</v>
      </c>
      <c r="X491" s="30" t="s">
        <v>228</v>
      </c>
      <c r="Y491" s="30" t="s">
        <v>1071</v>
      </c>
      <c r="Z491" s="30">
        <v>8</v>
      </c>
      <c r="AA491" s="30" t="s">
        <v>575</v>
      </c>
      <c r="AB491" s="30">
        <v>11</v>
      </c>
      <c r="AC491" s="30" t="s">
        <v>177</v>
      </c>
      <c r="AD491" s="30" t="s">
        <v>178</v>
      </c>
      <c r="AE491" s="30" t="s">
        <v>8</v>
      </c>
      <c r="AF491" s="30" t="s">
        <v>28</v>
      </c>
      <c r="AG491" s="30" t="s">
        <v>9</v>
      </c>
      <c r="AH491" s="30" t="s">
        <v>7</v>
      </c>
      <c r="AI491" s="30"/>
    </row>
    <row r="492" spans="1:35" x14ac:dyDescent="0.3">
      <c r="A492" s="30">
        <v>316</v>
      </c>
      <c r="B492" s="30" t="s">
        <v>569</v>
      </c>
      <c r="C492" s="30" t="s">
        <v>570</v>
      </c>
      <c r="D492" s="31">
        <v>46142</v>
      </c>
      <c r="E492" s="30">
        <v>1298</v>
      </c>
      <c r="F492" s="30">
        <v>0</v>
      </c>
      <c r="G492" s="32">
        <v>10236899222</v>
      </c>
      <c r="H492" s="30">
        <v>32527789206</v>
      </c>
      <c r="I492" s="30" t="s">
        <v>1073</v>
      </c>
      <c r="J492" s="30" t="s">
        <v>572</v>
      </c>
      <c r="K492" s="30" t="s">
        <v>573</v>
      </c>
      <c r="L492" s="30" t="s">
        <v>194</v>
      </c>
      <c r="M492" s="30" t="s">
        <v>195</v>
      </c>
      <c r="N492" s="30" t="s">
        <v>397</v>
      </c>
      <c r="O492" s="30">
        <v>6885930.1699999999</v>
      </c>
      <c r="P492" s="30">
        <v>1486.64</v>
      </c>
      <c r="Q492" s="30" t="s">
        <v>168</v>
      </c>
      <c r="R492" s="30" t="s">
        <v>169</v>
      </c>
      <c r="S492" s="30"/>
      <c r="T492" s="30"/>
      <c r="U492" s="30"/>
      <c r="V492" s="30" t="s">
        <v>172</v>
      </c>
      <c r="W492" s="30" t="s">
        <v>282</v>
      </c>
      <c r="X492" s="30" t="s">
        <v>228</v>
      </c>
      <c r="Y492" s="30" t="s">
        <v>1071</v>
      </c>
      <c r="Z492" s="30">
        <v>9</v>
      </c>
      <c r="AA492" s="30" t="s">
        <v>575</v>
      </c>
      <c r="AB492" s="30">
        <v>11</v>
      </c>
      <c r="AC492" s="30" t="s">
        <v>177</v>
      </c>
      <c r="AD492" s="30" t="s">
        <v>178</v>
      </c>
      <c r="AE492" s="30" t="s">
        <v>8</v>
      </c>
      <c r="AF492" s="30" t="s">
        <v>28</v>
      </c>
      <c r="AG492" s="30" t="s">
        <v>9</v>
      </c>
      <c r="AH492" s="30" t="s">
        <v>7</v>
      </c>
      <c r="AI492" s="30"/>
    </row>
    <row r="493" spans="1:35" x14ac:dyDescent="0.3">
      <c r="A493" s="30">
        <v>317</v>
      </c>
      <c r="B493" s="30" t="s">
        <v>569</v>
      </c>
      <c r="C493" s="30" t="s">
        <v>570</v>
      </c>
      <c r="D493" s="31">
        <v>46142</v>
      </c>
      <c r="E493" s="30">
        <v>1299</v>
      </c>
      <c r="F493" s="30">
        <v>0</v>
      </c>
      <c r="G493" s="32">
        <v>5993479413</v>
      </c>
      <c r="H493" s="30">
        <v>38521268619</v>
      </c>
      <c r="I493" s="30" t="s">
        <v>1074</v>
      </c>
      <c r="J493" s="30" t="s">
        <v>675</v>
      </c>
      <c r="K493" s="30" t="s">
        <v>676</v>
      </c>
      <c r="L493" s="30" t="s">
        <v>194</v>
      </c>
      <c r="M493" s="30" t="s">
        <v>195</v>
      </c>
      <c r="N493" s="30" t="s">
        <v>167</v>
      </c>
      <c r="O493" s="30">
        <v>5993479413</v>
      </c>
      <c r="P493" s="30">
        <v>1</v>
      </c>
      <c r="Q493" s="30" t="s">
        <v>168</v>
      </c>
      <c r="R493" s="30" t="s">
        <v>169</v>
      </c>
      <c r="S493" s="30"/>
      <c r="T493" s="30"/>
      <c r="U493" s="30"/>
      <c r="V493" s="30" t="s">
        <v>172</v>
      </c>
      <c r="W493" s="30" t="s">
        <v>282</v>
      </c>
      <c r="X493" s="30" t="s">
        <v>228</v>
      </c>
      <c r="Y493" s="30" t="s">
        <v>1075</v>
      </c>
      <c r="Z493" s="30">
        <v>5</v>
      </c>
      <c r="AA493" s="30" t="s">
        <v>575</v>
      </c>
      <c r="AB493" s="30">
        <v>11</v>
      </c>
      <c r="AC493" s="30" t="s">
        <v>177</v>
      </c>
      <c r="AD493" s="30" t="s">
        <v>178</v>
      </c>
      <c r="AE493" s="30" t="s">
        <v>8</v>
      </c>
      <c r="AF493" s="30" t="s">
        <v>28</v>
      </c>
      <c r="AG493" s="30" t="s">
        <v>10</v>
      </c>
      <c r="AH493" s="30" t="s">
        <v>7</v>
      </c>
      <c r="AI493" s="30"/>
    </row>
    <row r="494" spans="1:35" x14ac:dyDescent="0.3">
      <c r="A494" s="30">
        <v>318</v>
      </c>
      <c r="B494" s="30" t="s">
        <v>569</v>
      </c>
      <c r="C494" s="30" t="s">
        <v>570</v>
      </c>
      <c r="D494" s="31">
        <v>46142</v>
      </c>
      <c r="E494" s="30">
        <v>1299</v>
      </c>
      <c r="F494" s="30">
        <v>0</v>
      </c>
      <c r="G494" s="32">
        <v>939521600</v>
      </c>
      <c r="H494" s="30">
        <v>39460790219</v>
      </c>
      <c r="I494" s="30" t="s">
        <v>1076</v>
      </c>
      <c r="J494" s="30" t="s">
        <v>675</v>
      </c>
      <c r="K494" s="30" t="s">
        <v>676</v>
      </c>
      <c r="L494" s="30" t="s">
        <v>194</v>
      </c>
      <c r="M494" s="30" t="s">
        <v>195</v>
      </c>
      <c r="N494" s="30" t="s">
        <v>167</v>
      </c>
      <c r="O494" s="30">
        <v>939521600</v>
      </c>
      <c r="P494" s="30">
        <v>1</v>
      </c>
      <c r="Q494" s="30" t="s">
        <v>168</v>
      </c>
      <c r="R494" s="30" t="s">
        <v>169</v>
      </c>
      <c r="S494" s="30"/>
      <c r="T494" s="30"/>
      <c r="U494" s="30"/>
      <c r="V494" s="30" t="s">
        <v>172</v>
      </c>
      <c r="W494" s="30" t="s">
        <v>282</v>
      </c>
      <c r="X494" s="30" t="s">
        <v>228</v>
      </c>
      <c r="Y494" s="30" t="s">
        <v>1075</v>
      </c>
      <c r="Z494" s="30">
        <v>6</v>
      </c>
      <c r="AA494" s="30" t="s">
        <v>575</v>
      </c>
      <c r="AB494" s="30">
        <v>11</v>
      </c>
      <c r="AC494" s="30" t="s">
        <v>177</v>
      </c>
      <c r="AD494" s="30" t="s">
        <v>178</v>
      </c>
      <c r="AE494" s="30" t="s">
        <v>8</v>
      </c>
      <c r="AF494" s="30" t="s">
        <v>28</v>
      </c>
      <c r="AG494" s="30" t="s">
        <v>10</v>
      </c>
      <c r="AH494" s="30" t="s">
        <v>7</v>
      </c>
      <c r="AI494" s="30"/>
    </row>
    <row r="495" spans="1:35" x14ac:dyDescent="0.3">
      <c r="A495" s="30">
        <v>319</v>
      </c>
      <c r="B495" s="30" t="s">
        <v>569</v>
      </c>
      <c r="C495" s="30" t="s">
        <v>570</v>
      </c>
      <c r="D495" s="31">
        <v>46142</v>
      </c>
      <c r="E495" s="30">
        <v>1299</v>
      </c>
      <c r="F495" s="30">
        <v>0</v>
      </c>
      <c r="G495" s="32">
        <v>6843936520</v>
      </c>
      <c r="H495" s="30">
        <v>46304726739</v>
      </c>
      <c r="I495" s="30" t="s">
        <v>1077</v>
      </c>
      <c r="J495" s="30" t="s">
        <v>675</v>
      </c>
      <c r="K495" s="30" t="s">
        <v>676</v>
      </c>
      <c r="L495" s="30" t="s">
        <v>194</v>
      </c>
      <c r="M495" s="30" t="s">
        <v>195</v>
      </c>
      <c r="N495" s="30" t="s">
        <v>167</v>
      </c>
      <c r="O495" s="30">
        <v>6843936520</v>
      </c>
      <c r="P495" s="30">
        <v>1</v>
      </c>
      <c r="Q495" s="30" t="s">
        <v>168</v>
      </c>
      <c r="R495" s="30" t="s">
        <v>169</v>
      </c>
      <c r="S495" s="30"/>
      <c r="T495" s="30"/>
      <c r="U495" s="30"/>
      <c r="V495" s="30" t="s">
        <v>172</v>
      </c>
      <c r="W495" s="30" t="s">
        <v>282</v>
      </c>
      <c r="X495" s="30" t="s">
        <v>228</v>
      </c>
      <c r="Y495" s="30" t="s">
        <v>1075</v>
      </c>
      <c r="Z495" s="30">
        <v>7</v>
      </c>
      <c r="AA495" s="30" t="s">
        <v>575</v>
      </c>
      <c r="AB495" s="30">
        <v>11</v>
      </c>
      <c r="AC495" s="30" t="s">
        <v>177</v>
      </c>
      <c r="AD495" s="30" t="s">
        <v>178</v>
      </c>
      <c r="AE495" s="30" t="s">
        <v>8</v>
      </c>
      <c r="AF495" s="30" t="s">
        <v>28</v>
      </c>
      <c r="AG495" s="30" t="s">
        <v>10</v>
      </c>
      <c r="AH495" s="30" t="s">
        <v>7</v>
      </c>
      <c r="AI495" s="30"/>
    </row>
    <row r="496" spans="1:35" x14ac:dyDescent="0.3">
      <c r="A496" s="30">
        <v>320</v>
      </c>
      <c r="B496" s="30" t="s">
        <v>569</v>
      </c>
      <c r="C496" s="30" t="s">
        <v>570</v>
      </c>
      <c r="D496" s="31">
        <v>46142</v>
      </c>
      <c r="E496" s="30">
        <v>1304</v>
      </c>
      <c r="F496" s="30">
        <v>0</v>
      </c>
      <c r="G496" s="32">
        <v>660380514</v>
      </c>
      <c r="H496" s="30">
        <v>46965107253</v>
      </c>
      <c r="I496" s="30" t="s">
        <v>1078</v>
      </c>
      <c r="J496" s="30" t="s">
        <v>579</v>
      </c>
      <c r="K496" s="30" t="s">
        <v>580</v>
      </c>
      <c r="L496" s="30" t="s">
        <v>194</v>
      </c>
      <c r="M496" s="30" t="s">
        <v>195</v>
      </c>
      <c r="N496" s="30" t="s">
        <v>397</v>
      </c>
      <c r="O496" s="30">
        <v>345948.25</v>
      </c>
      <c r="P496" s="30">
        <v>1487.39</v>
      </c>
      <c r="Q496" s="30" t="s">
        <v>168</v>
      </c>
      <c r="R496" s="30" t="s">
        <v>169</v>
      </c>
      <c r="S496" s="30"/>
      <c r="T496" s="30"/>
      <c r="U496" s="30"/>
      <c r="V496" s="30" t="s">
        <v>172</v>
      </c>
      <c r="W496" s="30" t="s">
        <v>282</v>
      </c>
      <c r="X496" s="30" t="s">
        <v>228</v>
      </c>
      <c r="Y496" s="30" t="s">
        <v>1079</v>
      </c>
      <c r="Z496" s="30">
        <v>5</v>
      </c>
      <c r="AA496" s="30" t="s">
        <v>197</v>
      </c>
      <c r="AB496" s="30">
        <v>11</v>
      </c>
      <c r="AC496" s="30" t="s">
        <v>177</v>
      </c>
      <c r="AD496" s="30" t="s">
        <v>178</v>
      </c>
      <c r="AE496" s="30" t="s">
        <v>8</v>
      </c>
      <c r="AF496" s="30" t="s">
        <v>28</v>
      </c>
      <c r="AG496" s="30" t="s">
        <v>15</v>
      </c>
      <c r="AH496" s="30" t="s">
        <v>7</v>
      </c>
      <c r="AI496" s="30"/>
    </row>
  </sheetData>
  <autoFilter ref="A1:AI1" xr:uid="{00000000-0009-0000-0000-000005000000}"/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D5D7A-A719-4AD5-95EA-5649ECDC4A1D}">
  <dimension ref="A1:J800"/>
  <sheetViews>
    <sheetView tabSelected="1" workbookViewId="0">
      <pane ySplit="6" topLeftCell="A7" activePane="bottomLeft" state="frozen"/>
      <selection pane="bottomLeft" sqref="A1:J1"/>
    </sheetView>
  </sheetViews>
  <sheetFormatPr defaultRowHeight="16.5" x14ac:dyDescent="0.3"/>
  <cols>
    <col min="1" max="1" width="14" customWidth="1"/>
    <col min="2" max="2" width="28" customWidth="1"/>
    <col min="3" max="3" width="11.125" style="51" bestFit="1" customWidth="1"/>
    <col min="4" max="4" width="10" customWidth="1"/>
    <col min="5" max="5" width="16" style="53" customWidth="1"/>
    <col min="6" max="7" width="12" customWidth="1"/>
    <col min="8" max="8" width="28" customWidth="1"/>
    <col min="9" max="9" width="44" customWidth="1"/>
    <col min="10" max="10" width="14" customWidth="1"/>
  </cols>
  <sheetData>
    <row r="1" spans="1:10" ht="21.95" customHeight="1" thickBot="1" x14ac:dyDescent="0.35">
      <c r="A1" s="41" t="s">
        <v>1080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" customHeight="1" thickBot="1" x14ac:dyDescent="0.35">
      <c r="A2" s="42" t="s">
        <v>159</v>
      </c>
      <c r="B2" s="43" t="s">
        <v>1083</v>
      </c>
      <c r="C2" s="44" t="s">
        <v>1081</v>
      </c>
      <c r="D2" s="34"/>
      <c r="E2" s="34"/>
      <c r="F2" s="34"/>
      <c r="G2" s="34"/>
      <c r="H2" s="34"/>
      <c r="I2" s="34"/>
      <c r="J2" s="34"/>
    </row>
    <row r="3" spans="1:10" ht="18" customHeight="1" thickBot="1" x14ac:dyDescent="0.35">
      <c r="A3" s="42" t="s">
        <v>1082</v>
      </c>
      <c r="B3" s="43" t="s">
        <v>1083</v>
      </c>
      <c r="C3" s="34"/>
      <c r="D3" s="34"/>
      <c r="E3" s="34"/>
      <c r="F3" s="34"/>
      <c r="G3" s="34"/>
      <c r="H3" s="34"/>
      <c r="I3" s="34"/>
      <c r="J3" s="34"/>
    </row>
    <row r="4" spans="1:10" ht="18" customHeight="1" thickBot="1" x14ac:dyDescent="0.35">
      <c r="A4" s="42" t="s">
        <v>156</v>
      </c>
      <c r="B4" s="43" t="s">
        <v>1083</v>
      </c>
      <c r="C4" s="34"/>
      <c r="D4" s="34"/>
      <c r="E4" s="34"/>
      <c r="F4" s="34"/>
      <c r="G4" s="34"/>
      <c r="H4" s="34"/>
      <c r="I4" s="34"/>
      <c r="J4" s="34"/>
    </row>
    <row r="5" spans="1:10" ht="3.95" customHeight="1" x14ac:dyDescent="0.3">
      <c r="A5" s="45"/>
      <c r="B5" s="45"/>
      <c r="C5" s="46"/>
      <c r="D5" s="45"/>
      <c r="E5" s="47"/>
      <c r="F5" s="45"/>
      <c r="G5" s="45"/>
      <c r="H5" s="45"/>
      <c r="I5" s="45"/>
      <c r="J5" s="45"/>
    </row>
    <row r="6" spans="1:10" ht="18" customHeight="1" x14ac:dyDescent="0.3">
      <c r="A6" s="48" t="s">
        <v>127</v>
      </c>
      <c r="B6" s="48" t="s">
        <v>3</v>
      </c>
      <c r="C6" s="49" t="s">
        <v>130</v>
      </c>
      <c r="D6" s="48" t="s">
        <v>159</v>
      </c>
      <c r="E6" s="50" t="s">
        <v>133</v>
      </c>
      <c r="F6" s="48" t="s">
        <v>156</v>
      </c>
      <c r="G6" s="48" t="s">
        <v>157</v>
      </c>
      <c r="H6" s="48" t="s">
        <v>158</v>
      </c>
      <c r="I6" s="48" t="s">
        <v>135</v>
      </c>
      <c r="J6" s="48" t="s">
        <v>160</v>
      </c>
    </row>
    <row r="7" spans="1:10" x14ac:dyDescent="0.3">
      <c r="A7" cm="1">
        <f t="array" ref="A7:J782">_xlfn._xlws.FILTER(CHOOSE({1,2,3,4,5,6,7,8,9,10},Raw_Data!$A$2:$A$777,Raw_Data!$K$2:$K$777,Raw_Data!$D$2:$D$777,Raw_Data!$AH$2:$AH$777,Raw_Data!$G$2:$G$777,Raw_Data!$AE$2:$AE$777,Raw_Data!$AF$2:$AF$777,Raw_Data!$AG$2:$AG$777,Raw_Data!$I$2:$I$777,Raw_Data!$AI$2:$AI$777),(($B$2="(전체)")+ISNUMBER(SEARCH(","&amp;Raw_Data!$AH$2:$AH$777&amp;",",","&amp;SUBSTITUTE($B$2," ","")&amp;",")))*(($B$3="(전체)")+ISNUMBER(SEARCH(","&amp;Raw_Data!$AG$2:$AG$777&amp;",",","&amp;SUBSTITUTE($B$3," ","")&amp;",")))*(($B$4="(전체)")+(Raw_Data!$AE$2:$AE$777=$B$4)),"")</f>
        <v>1</v>
      </c>
      <c r="B7" t="str">
        <v>주식회사 컴투스홀딩스</v>
      </c>
      <c r="C7" s="51">
        <v>46047</v>
      </c>
      <c r="D7" t="str">
        <v>1월</v>
      </c>
      <c r="E7" s="52">
        <v>33725108</v>
      </c>
      <c r="F7" t="str">
        <v>기타수익</v>
      </c>
      <c r="G7" t="str">
        <v>기타</v>
      </c>
      <c r="H7" t="str">
        <v>컴투스홀딩스(기타)</v>
      </c>
      <c r="I7" t="str">
        <v>2025년 4분기 그룹사 홍보비용 정산(홀딩스)</v>
      </c>
      <c r="J7" t="str">
        <v>← 그룹사 홍보비용 정산</v>
      </c>
    </row>
    <row r="8" spans="1:10" x14ac:dyDescent="0.3">
      <c r="A8">
        <v>2</v>
      </c>
      <c r="B8" t="str">
        <v>주식회사 컴투스플랫폼</v>
      </c>
      <c r="C8" s="51">
        <v>46047</v>
      </c>
      <c r="D8" t="str">
        <v>1월</v>
      </c>
      <c r="E8" s="52">
        <v>14468693</v>
      </c>
      <c r="F8" t="str">
        <v>기타수익</v>
      </c>
      <c r="G8" t="str">
        <v>기타</v>
      </c>
      <c r="H8" t="str">
        <v>컴투스플랫폼(기타)</v>
      </c>
      <c r="I8" t="str">
        <v>2025년 4분기 그룹사 홍보비용 정산(플랫폼)</v>
      </c>
      <c r="J8" t="str">
        <v>← 컴투스 상표 로열티, 4사 공용비용 분담금</v>
      </c>
    </row>
    <row r="9" spans="1:10" x14ac:dyDescent="0.3">
      <c r="A9">
        <v>3</v>
      </c>
      <c r="B9" t="str">
        <v>(주)에스비에스콘텐츠허브</v>
      </c>
      <c r="C9" s="51">
        <v>46052</v>
      </c>
      <c r="D9" t="str">
        <v>1월</v>
      </c>
      <c r="E9" s="52">
        <v>121442</v>
      </c>
      <c r="F9" t="str">
        <v>기타수익</v>
      </c>
      <c r="G9" t="str">
        <v>기타</v>
      </c>
      <c r="H9" t="str">
        <v>에스비에스콘텐츠허브</v>
      </c>
      <c r="I9" t="str">
        <v>01월/기타수익_매출/워너비챌린지 OST 음원매출</v>
      </c>
      <c r="J9" t="str">
        <v>← 워너비챌린지 음원매출</v>
      </c>
    </row>
    <row r="10" spans="1:10" x14ac:dyDescent="0.3">
      <c r="A10">
        <v>4</v>
      </c>
      <c r="B10" t="str">
        <v>주식회사 카탈리스터</v>
      </c>
      <c r="C10" s="51">
        <v>46053</v>
      </c>
      <c r="D10" t="str">
        <v>1월</v>
      </c>
      <c r="E10" s="52">
        <v>835680</v>
      </c>
      <c r="F10" t="str">
        <v>기타수익</v>
      </c>
      <c r="G10" t="str">
        <v>기타</v>
      </c>
      <c r="H10" t="str">
        <v>카탈리스터(기타)</v>
      </c>
      <c r="I10" t="str">
        <v>26년 1월 카탈리스터 전대차 임대료</v>
      </c>
      <c r="J10" t="str">
        <v>← 4사 공용비용 분담금</v>
      </c>
    </row>
    <row r="11" spans="1:10" x14ac:dyDescent="0.3">
      <c r="A11">
        <v>5</v>
      </c>
      <c r="B11" t="str">
        <v>주식회사 데이세븐</v>
      </c>
      <c r="C11" s="51">
        <v>46053</v>
      </c>
      <c r="D11" t="str">
        <v>1월</v>
      </c>
      <c r="E11" s="52">
        <v>175000</v>
      </c>
      <c r="F11" t="str">
        <v>기타수익</v>
      </c>
      <c r="G11" t="str">
        <v>기타</v>
      </c>
      <c r="H11" t="str">
        <v>데이세븐(기타)</v>
      </c>
      <c r="I11" t="str">
        <v>26년 1월 데이세븐 전대차 임대료</v>
      </c>
      <c r="J11" t="str">
        <v>← 전대차 임대료</v>
      </c>
    </row>
    <row r="12" spans="1:10" x14ac:dyDescent="0.3">
      <c r="A12">
        <v>6</v>
      </c>
      <c r="B12" t="str">
        <v>주식회사 컴투스홀딩스</v>
      </c>
      <c r="C12" s="51">
        <v>46053</v>
      </c>
      <c r="D12" t="str">
        <v>1월</v>
      </c>
      <c r="E12" s="52">
        <v>13048244</v>
      </c>
      <c r="F12" t="str">
        <v>기타수익</v>
      </c>
      <c r="G12" t="str">
        <v>기타</v>
      </c>
      <c r="H12" t="str">
        <v>컴투스홀딩스(기타)</v>
      </c>
      <c r="I12" t="str">
        <v>1월분 4사 공용비용 분담 예상 금액_컴투스홀딩스</v>
      </c>
      <c r="J12" t="str">
        <v>← 그룹사 홍보비용 정산</v>
      </c>
    </row>
    <row r="13" spans="1:10" x14ac:dyDescent="0.3">
      <c r="A13">
        <v>7</v>
      </c>
      <c r="B13" t="str">
        <v>주식회사 컴투스플랫폼</v>
      </c>
      <c r="C13" s="51">
        <v>46053</v>
      </c>
      <c r="D13" t="str">
        <v>1월</v>
      </c>
      <c r="E13" s="52">
        <v>29397672</v>
      </c>
      <c r="F13" t="str">
        <v>기타수익</v>
      </c>
      <c r="G13" t="str">
        <v>기타</v>
      </c>
      <c r="H13" t="str">
        <v>컴투스플랫폼(기타)</v>
      </c>
      <c r="I13" t="str">
        <v>1월분 4사 공용비용 분담 예상 금액_컴투스플랫폼</v>
      </c>
      <c r="J13" t="str">
        <v>← 컴투스 상표 로열티, 4사 공용비용 분담금</v>
      </c>
    </row>
    <row r="14" spans="1:10" x14ac:dyDescent="0.3">
      <c r="A14">
        <v>8</v>
      </c>
      <c r="B14" t="str">
        <v>주식회사 카탈리스터</v>
      </c>
      <c r="C14" s="51">
        <v>46053</v>
      </c>
      <c r="D14" t="str">
        <v>1월</v>
      </c>
      <c r="E14" s="52">
        <v>132223</v>
      </c>
      <c r="F14" t="str">
        <v>기타수익</v>
      </c>
      <c r="G14" t="str">
        <v>기타</v>
      </c>
      <c r="H14" t="str">
        <v>카탈리스터(기타)</v>
      </c>
      <c r="I14" t="str">
        <v>1월분 4사 공용비용 분담 예상 금액_카탈리스터</v>
      </c>
      <c r="J14" t="str">
        <v>← 4사 공용비용 분담금</v>
      </c>
    </row>
    <row r="15" spans="1:10" x14ac:dyDescent="0.3">
      <c r="A15">
        <v>9</v>
      </c>
      <c r="B15" t="str">
        <v>주식회사 하이브로</v>
      </c>
      <c r="C15" s="51">
        <v>46053</v>
      </c>
      <c r="D15" t="str">
        <v>1월</v>
      </c>
      <c r="E15" s="52">
        <v>18413940</v>
      </c>
      <c r="F15" t="str">
        <v>기타수익</v>
      </c>
      <c r="G15" t="str">
        <v>기타</v>
      </c>
      <c r="H15" t="str">
        <v>하이브로</v>
      </c>
      <c r="I15" t="str">
        <v>12월/매출_수익정산/하이브로 타이니팜＆드래곤럼블(2종게임) 매출 정산(2025년 12월)</v>
      </c>
      <c r="J15" t="str">
        <v>← 타이니팜/드래곤럼블 매출 정산</v>
      </c>
    </row>
    <row r="16" spans="1:10" x14ac:dyDescent="0.3">
      <c r="A16">
        <v>10</v>
      </c>
      <c r="B16" t="str">
        <v>주식회사 하이브로</v>
      </c>
      <c r="C16" s="51">
        <v>46053</v>
      </c>
      <c r="D16" t="str">
        <v>1월</v>
      </c>
      <c r="E16" s="52">
        <v>15551596</v>
      </c>
      <c r="F16" t="str">
        <v>기타수익</v>
      </c>
      <c r="G16" t="str">
        <v>기타</v>
      </c>
      <c r="H16" t="str">
        <v>하이브로</v>
      </c>
      <c r="I16" t="str">
        <v>12월/매출_수익정산/하이브로 타이니팜＆드래곤럼블(2종게임) 매출 정산(2025년 12월)</v>
      </c>
      <c r="J16" t="str">
        <v>← 타이니팜/드래곤럼블 매출 정산</v>
      </c>
    </row>
    <row r="17" spans="1:10" x14ac:dyDescent="0.3">
      <c r="A17">
        <v>11</v>
      </c>
      <c r="B17" t="str">
        <v>주식회사 컴투스플랫폼</v>
      </c>
      <c r="C17" s="51">
        <v>46053</v>
      </c>
      <c r="D17" t="str">
        <v>1월</v>
      </c>
      <c r="E17" s="52">
        <v>831597</v>
      </c>
      <c r="F17" t="str">
        <v>기타수익</v>
      </c>
      <c r="G17" t="str">
        <v>기타</v>
      </c>
      <c r="H17" t="str">
        <v>컴투스플랫폼(기타)</v>
      </c>
      <c r="I17" t="str">
        <v>2026년 1월 붕어빵 타이쿤 IP로열티 정산분</v>
      </c>
      <c r="J17" t="str">
        <v>← 컴투스 상표 로열티, 4사 공용비용 분담금</v>
      </c>
    </row>
    <row r="18" spans="1:10" x14ac:dyDescent="0.3">
      <c r="A18">
        <v>12</v>
      </c>
      <c r="B18" t="str">
        <v>주식회사 컴투스홀딩스</v>
      </c>
      <c r="C18" s="51">
        <v>46053</v>
      </c>
      <c r="D18" t="str">
        <v>1월</v>
      </c>
      <c r="E18" s="52">
        <v>2679557</v>
      </c>
      <c r="F18" t="str">
        <v>기타수익</v>
      </c>
      <c r="G18" t="str">
        <v>기타</v>
      </c>
      <c r="H18" t="str">
        <v>컴투스홀딩스(기타)</v>
      </c>
      <c r="I18" t="str">
        <v>[매출/정산] 26년 1월 컴투스 상표 로열티_홀딩스</v>
      </c>
      <c r="J18" t="str">
        <v>← 그룹사 홍보비용 정산</v>
      </c>
    </row>
    <row r="19" spans="1:10" x14ac:dyDescent="0.3">
      <c r="A19">
        <v>13</v>
      </c>
      <c r="B19" t="str">
        <v>주식회사 컴투스플랫폼</v>
      </c>
      <c r="C19" s="51">
        <v>46053</v>
      </c>
      <c r="D19" t="str">
        <v>1월</v>
      </c>
      <c r="E19" s="52">
        <v>612796</v>
      </c>
      <c r="F19" t="str">
        <v>기타수익</v>
      </c>
      <c r="G19" t="str">
        <v>기타</v>
      </c>
      <c r="H19" t="str">
        <v>컴투스플랫폼(기타)</v>
      </c>
      <c r="I19" t="str">
        <v>[매출/정산] 26년 1월 컴투스 상표 로열티_플랫폼</v>
      </c>
      <c r="J19" t="str">
        <v>← 컴투스 상표 로열티, 4사 공용비용 분담금</v>
      </c>
    </row>
    <row r="20" spans="1:10" x14ac:dyDescent="0.3">
      <c r="A20">
        <v>14</v>
      </c>
      <c r="B20" t="str">
        <v>주식회사 컴투스플랫폼</v>
      </c>
      <c r="C20" s="51">
        <v>46053</v>
      </c>
      <c r="D20" t="str">
        <v>1월</v>
      </c>
      <c r="E20" s="52">
        <v>600000</v>
      </c>
      <c r="F20" t="str">
        <v>기타수익</v>
      </c>
      <c r="G20" t="str">
        <v>기타</v>
      </c>
      <c r="H20" t="str">
        <v>컴투스플랫폼(기타)</v>
      </c>
      <c r="I20" t="str">
        <v>1월/복리후생비/26년 1월 임원 복리후생 이용 정산 건</v>
      </c>
      <c r="J20" t="str">
        <v>← 컴투스 상표 로열티, 4사 공용비용 분담금</v>
      </c>
    </row>
    <row r="21" spans="1:10" x14ac:dyDescent="0.3">
      <c r="A21">
        <v>16</v>
      </c>
      <c r="B21" t="str">
        <v>(주) 공게임즈</v>
      </c>
      <c r="C21" s="51">
        <v>46053</v>
      </c>
      <c r="D21" t="str">
        <v>1월</v>
      </c>
      <c r="E21" s="52">
        <v>989829</v>
      </c>
      <c r="F21" t="str">
        <v>기타수익</v>
      </c>
      <c r="G21" t="str">
        <v>로열티수익</v>
      </c>
      <c r="H21" t="str">
        <v>공게임즈</v>
      </c>
      <c r="I21" t="str">
        <v>1월 선수협 퍼블리시티권 정산_공게임즈_이사만루 예정-확정 차이 (25.12 매출)</v>
      </c>
      <c r="J21">
        <v>0</v>
      </c>
    </row>
    <row r="22" spans="1:10" x14ac:dyDescent="0.3">
      <c r="A22">
        <v>17</v>
      </c>
      <c r="B22" t="str">
        <v>넷마블 주식회사</v>
      </c>
      <c r="C22" s="51">
        <v>46053</v>
      </c>
      <c r="D22" t="str">
        <v>1월</v>
      </c>
      <c r="E22" s="52">
        <v>-367497</v>
      </c>
      <c r="F22" t="str">
        <v>기타수익</v>
      </c>
      <c r="G22" t="str">
        <v>기타</v>
      </c>
      <c r="H22" t="str">
        <v>넷마블(기타)</v>
      </c>
      <c r="I22" t="str">
        <v>1월 선수협 퍼블리시티권 정산_넷마블_마구마구 예정-확정 차이 (25.12 매출)</v>
      </c>
      <c r="J22">
        <v>0</v>
      </c>
    </row>
    <row r="23" spans="1:10" x14ac:dyDescent="0.3">
      <c r="A23">
        <v>18</v>
      </c>
      <c r="B23" t="str">
        <v>주식회사 에이스프로젝트</v>
      </c>
      <c r="C23" s="51">
        <v>46053</v>
      </c>
      <c r="D23" t="str">
        <v>1월</v>
      </c>
      <c r="E23" s="52">
        <v>-80200</v>
      </c>
      <c r="F23" t="str">
        <v>기타수익</v>
      </c>
      <c r="G23" t="str">
        <v>로열티수익</v>
      </c>
      <c r="H23" t="str">
        <v>에이스프로젝트</v>
      </c>
      <c r="I23" t="str">
        <v>1월 선수협 퍼블리시티권 정산_에이스프로젝트_9UP프로야구 예정-확정 차이 (25.12 매출)</v>
      </c>
      <c r="J23">
        <v>0</v>
      </c>
    </row>
    <row r="24" spans="1:10" x14ac:dyDescent="0.3">
      <c r="A24">
        <v>21</v>
      </c>
      <c r="B24" t="str">
        <v>주식회사 케나즈</v>
      </c>
      <c r="C24" s="51">
        <v>46054</v>
      </c>
      <c r="D24" t="str">
        <v>2월</v>
      </c>
      <c r="E24" s="52">
        <v>31189</v>
      </c>
      <c r="F24" t="str">
        <v>기타수익</v>
      </c>
      <c r="G24" t="str">
        <v>로열티수익</v>
      </c>
      <c r="H24" t="str">
        <v>케나즈</v>
      </c>
      <c r="I24" t="str">
        <v>2월/로열티 매출/ 25년 4Q KENAZ의 '서머너즈 워' IP 웹툰 6종 서비스 원작료 정산</v>
      </c>
      <c r="J24" t="str">
        <v>← 서머너즈워 IP 활용 웹툰 정산금</v>
      </c>
    </row>
    <row r="25" spans="1:10" x14ac:dyDescent="0.3">
      <c r="A25">
        <v>22</v>
      </c>
      <c r="B25" t="str">
        <v>(주)에스비에스콘텐츠허브</v>
      </c>
      <c r="C25" s="51">
        <v>46080</v>
      </c>
      <c r="D25" t="str">
        <v>2월</v>
      </c>
      <c r="E25" s="52">
        <v>117215</v>
      </c>
      <c r="F25" t="str">
        <v>기타수익</v>
      </c>
      <c r="G25" t="str">
        <v>기타</v>
      </c>
      <c r="H25" t="str">
        <v>에스비에스콘텐츠허브</v>
      </c>
      <c r="I25" t="str">
        <v>02월/기타수익_매출/워너비챌린지 OST 음원매출</v>
      </c>
      <c r="J25" t="str">
        <v>← 워너비챌린지 음원매출</v>
      </c>
    </row>
    <row r="26" spans="1:10" x14ac:dyDescent="0.3">
      <c r="A26">
        <v>23</v>
      </c>
      <c r="B26" t="str">
        <v>주식회사 카탈리스터</v>
      </c>
      <c r="C26" s="51">
        <v>46081</v>
      </c>
      <c r="D26" t="str">
        <v>2월</v>
      </c>
      <c r="E26" s="52">
        <v>835680</v>
      </c>
      <c r="F26" t="str">
        <v>기타수익</v>
      </c>
      <c r="G26" t="str">
        <v>기타</v>
      </c>
      <c r="H26" t="str">
        <v>카탈리스터(기타)</v>
      </c>
      <c r="I26" t="str">
        <v>[기타매출] 2월 카탈리스터 전대차 임대료</v>
      </c>
      <c r="J26" t="str">
        <v>← 4사 공용비용 분담금</v>
      </c>
    </row>
    <row r="27" spans="1:10" x14ac:dyDescent="0.3">
      <c r="A27">
        <v>24</v>
      </c>
      <c r="B27" t="str">
        <v>주식회사 데이세븐</v>
      </c>
      <c r="C27" s="51">
        <v>46081</v>
      </c>
      <c r="D27" t="str">
        <v>2월</v>
      </c>
      <c r="E27" s="52">
        <v>175000</v>
      </c>
      <c r="F27" t="str">
        <v>기타수익</v>
      </c>
      <c r="G27" t="str">
        <v>기타</v>
      </c>
      <c r="H27" t="str">
        <v>데이세븐(기타)</v>
      </c>
      <c r="I27" t="str">
        <v>[기타매출] 2월 데이세븐 전대차 임대료</v>
      </c>
      <c r="J27" t="str">
        <v>← 전대차 임대료</v>
      </c>
    </row>
    <row r="28" spans="1:10" x14ac:dyDescent="0.3">
      <c r="A28">
        <v>25</v>
      </c>
      <c r="B28" t="str">
        <v>주식회사 컴투스홀딩스</v>
      </c>
      <c r="C28" s="51">
        <v>46081</v>
      </c>
      <c r="D28" t="str">
        <v>2월</v>
      </c>
      <c r="E28" s="52">
        <v>2798183</v>
      </c>
      <c r="F28" t="str">
        <v>기타수익</v>
      </c>
      <c r="G28" t="str">
        <v>기타</v>
      </c>
      <c r="H28" t="str">
        <v>컴투스홀딩스(기타)</v>
      </c>
      <c r="I28" t="str">
        <v>[매출/정산] 26년 2월 컴투스 상표 로열티_홀딩스</v>
      </c>
      <c r="J28" t="str">
        <v>← 그룹사 홍보비용 정산</v>
      </c>
    </row>
    <row r="29" spans="1:10" x14ac:dyDescent="0.3">
      <c r="A29">
        <v>26</v>
      </c>
      <c r="B29" t="str">
        <v>주식회사 컴투스플랫폼</v>
      </c>
      <c r="C29" s="51">
        <v>46081</v>
      </c>
      <c r="D29" t="str">
        <v>2월</v>
      </c>
      <c r="E29" s="52">
        <v>549265</v>
      </c>
      <c r="F29" t="str">
        <v>기타수익</v>
      </c>
      <c r="G29" t="str">
        <v>기타</v>
      </c>
      <c r="H29" t="str">
        <v>컴투스플랫폼(기타)</v>
      </c>
      <c r="I29" t="str">
        <v>[매출/정산] 26년 2월 컴투스 상표 로열티_플랫폼</v>
      </c>
      <c r="J29" t="str">
        <v>← 컴투스 상표 로열티, 4사 공용비용 분담금</v>
      </c>
    </row>
    <row r="30" spans="1:10" x14ac:dyDescent="0.3">
      <c r="A30">
        <v>27</v>
      </c>
      <c r="B30" t="str">
        <v>주식회사 컴투스플랫폼</v>
      </c>
      <c r="C30" s="51">
        <v>46081</v>
      </c>
      <c r="D30" t="str">
        <v>2월</v>
      </c>
      <c r="E30" s="52">
        <v>314225</v>
      </c>
      <c r="F30" t="str">
        <v>기타수익</v>
      </c>
      <c r="G30" t="str">
        <v>기타</v>
      </c>
      <c r="H30" t="str">
        <v>컴투스플랫폼(기타)</v>
      </c>
      <c r="I30" t="str">
        <v>2026년 2월 붕어빵 타이쿤 IP로열티 정산분</v>
      </c>
      <c r="J30" t="str">
        <v>← 컴투스 상표 로열티, 4사 공용비용 분담금</v>
      </c>
    </row>
    <row r="31" spans="1:10" x14ac:dyDescent="0.3">
      <c r="A31">
        <v>28</v>
      </c>
      <c r="B31" t="str">
        <v>주식회사 하이브로</v>
      </c>
      <c r="C31" s="51">
        <v>46081</v>
      </c>
      <c r="D31" t="str">
        <v>2월</v>
      </c>
      <c r="E31" s="52">
        <v>17227545</v>
      </c>
      <c r="F31" t="str">
        <v>기타수익</v>
      </c>
      <c r="G31" t="str">
        <v>기타</v>
      </c>
      <c r="H31" t="str">
        <v>하이브로</v>
      </c>
      <c r="I31" t="str">
        <v>01월/매출_수익정산/하이브로 타이니팜 매출 정산(2026년 01월)</v>
      </c>
      <c r="J31" t="str">
        <v>← 타이니팜/드래곤럼블 매출 정산</v>
      </c>
    </row>
    <row r="32" spans="1:10" x14ac:dyDescent="0.3">
      <c r="A32">
        <v>29</v>
      </c>
      <c r="B32" t="str">
        <v>주식회사 하이브로</v>
      </c>
      <c r="C32" s="51">
        <v>46081</v>
      </c>
      <c r="D32" t="str">
        <v>2월</v>
      </c>
      <c r="E32" s="52">
        <v>4734168</v>
      </c>
      <c r="F32" t="str">
        <v>기타수익</v>
      </c>
      <c r="G32" t="str">
        <v>기타</v>
      </c>
      <c r="H32" t="str">
        <v>하이브로</v>
      </c>
      <c r="I32" t="str">
        <v>01월/매출_수익정산/하이브로 드래곤럼블 매출 정산(2026년 01월)</v>
      </c>
      <c r="J32" t="str">
        <v>← 타이니팜/드래곤럼블 매출 정산</v>
      </c>
    </row>
    <row r="33" spans="1:10" x14ac:dyDescent="0.3">
      <c r="A33">
        <v>30</v>
      </c>
      <c r="B33" t="str">
        <v>주식회사 컴투스홀딩스</v>
      </c>
      <c r="C33" s="51">
        <v>46081</v>
      </c>
      <c r="D33" t="str">
        <v>2월</v>
      </c>
      <c r="E33" s="52">
        <v>11241702</v>
      </c>
      <c r="F33" t="str">
        <v>기타수익</v>
      </c>
      <c r="G33" t="str">
        <v>기타</v>
      </c>
      <c r="H33" t="str">
        <v>컴투스홀딩스(기타)</v>
      </c>
      <c r="I33" t="str">
        <v>[매출 / 가인식] 1월 그룹사 홍보비용 정산(홀딩스)</v>
      </c>
      <c r="J33" t="str">
        <v>← 그룹사 홍보비용 정산</v>
      </c>
    </row>
    <row r="34" spans="1:10" x14ac:dyDescent="0.3">
      <c r="A34">
        <v>31</v>
      </c>
      <c r="B34" t="str">
        <v>주식회사 컴투스홀딩스</v>
      </c>
      <c r="C34" s="51">
        <v>46081</v>
      </c>
      <c r="D34" t="str">
        <v>2월</v>
      </c>
      <c r="E34" s="52">
        <v>11241702</v>
      </c>
      <c r="F34" t="str">
        <v>기타수익</v>
      </c>
      <c r="G34" t="str">
        <v>기타</v>
      </c>
      <c r="H34" t="str">
        <v>컴투스홀딩스(기타)</v>
      </c>
      <c r="I34" t="str">
        <v>[매출 / 가인식] 2월 그룹사 홍보비용 정산(홀딩스)</v>
      </c>
      <c r="J34" t="str">
        <v>← 그룹사 홍보비용 정산</v>
      </c>
    </row>
    <row r="35" spans="1:10" x14ac:dyDescent="0.3">
      <c r="A35">
        <v>32</v>
      </c>
      <c r="B35" t="str">
        <v>주식회사 컴투스플랫폼</v>
      </c>
      <c r="C35" s="51">
        <v>46081</v>
      </c>
      <c r="D35" t="str">
        <v>2월</v>
      </c>
      <c r="E35" s="52">
        <v>4822897</v>
      </c>
      <c r="F35" t="str">
        <v>기타수익</v>
      </c>
      <c r="G35" t="str">
        <v>기타</v>
      </c>
      <c r="H35" t="str">
        <v>컴투스플랫폼(기타)</v>
      </c>
      <c r="I35" t="str">
        <v>[매출 / 가인식] 1월 그룹사 홍보비용 정산(플랫폼)</v>
      </c>
      <c r="J35" t="str">
        <v>← 컴투스 상표 로열티, 4사 공용비용 분담금</v>
      </c>
    </row>
    <row r="36" spans="1:10" x14ac:dyDescent="0.3">
      <c r="A36">
        <v>33</v>
      </c>
      <c r="B36" t="str">
        <v>주식회사 컴투스플랫폼</v>
      </c>
      <c r="C36" s="51">
        <v>46081</v>
      </c>
      <c r="D36" t="str">
        <v>2월</v>
      </c>
      <c r="E36" s="52">
        <v>4822897</v>
      </c>
      <c r="F36" t="str">
        <v>기타수익</v>
      </c>
      <c r="G36" t="str">
        <v>기타</v>
      </c>
      <c r="H36" t="str">
        <v>컴투스플랫폼(기타)</v>
      </c>
      <c r="I36" t="str">
        <v>[매출 / 가인식] 2월 그룹사 홍보비용 정산(플랫폼)</v>
      </c>
      <c r="J36" t="str">
        <v>← 컴투스 상표 로열티, 4사 공용비용 분담금</v>
      </c>
    </row>
    <row r="37" spans="1:10" x14ac:dyDescent="0.3">
      <c r="A37">
        <v>34</v>
      </c>
      <c r="B37" t="str">
        <v>(주)게임테일즈</v>
      </c>
      <c r="C37" s="51">
        <v>46081</v>
      </c>
      <c r="D37" t="str">
        <v>2월</v>
      </c>
      <c r="E37" s="52">
        <v>9618919</v>
      </c>
      <c r="F37" t="str">
        <v>기타수익</v>
      </c>
      <c r="G37" t="str">
        <v>기타</v>
      </c>
      <c r="H37" t="str">
        <v>게임테일즈</v>
      </c>
      <c r="I37" t="str">
        <v>2월 / 수입결의서 / 운영시스템 양도 1차/20260226/23/FI20260226000025-1</v>
      </c>
      <c r="J37" t="str">
        <v>← 게임테일즈 운영시스템 양도/IP 사용료</v>
      </c>
    </row>
    <row r="38" spans="1:10" x14ac:dyDescent="0.3">
      <c r="A38">
        <v>36</v>
      </c>
      <c r="B38" t="str">
        <v>주식회사 컴투스홀딩스</v>
      </c>
      <c r="C38" s="51">
        <v>46081</v>
      </c>
      <c r="D38" t="str">
        <v>2월</v>
      </c>
      <c r="E38" s="52">
        <v>13048244</v>
      </c>
      <c r="F38" t="str">
        <v>기타수익</v>
      </c>
      <c r="G38" t="str">
        <v>기타</v>
      </c>
      <c r="H38" t="str">
        <v>컴투스홀딩스(기타)</v>
      </c>
      <c r="I38" t="str">
        <v>[기타매출 / 가인식] 2월 4사 공용비용 분담금_컴투스홀딩스</v>
      </c>
      <c r="J38" t="str">
        <v>← 그룹사 홍보비용 정산</v>
      </c>
    </row>
    <row r="39" spans="1:10" x14ac:dyDescent="0.3">
      <c r="A39">
        <v>37</v>
      </c>
      <c r="B39" t="str">
        <v>주식회사 컴투스플랫폼</v>
      </c>
      <c r="C39" s="51">
        <v>46081</v>
      </c>
      <c r="D39" t="str">
        <v>2월</v>
      </c>
      <c r="E39" s="52">
        <v>29397672</v>
      </c>
      <c r="F39" t="str">
        <v>기타수익</v>
      </c>
      <c r="G39" t="str">
        <v>기타</v>
      </c>
      <c r="H39" t="str">
        <v>컴투스플랫폼(기타)</v>
      </c>
      <c r="I39" t="str">
        <v>[기타매출 / 가인식] 2월 4사 공용비용 분담금_컴투스플랫폼</v>
      </c>
      <c r="J39" t="str">
        <v>← 컴투스 상표 로열티, 4사 공용비용 분담금</v>
      </c>
    </row>
    <row r="40" spans="1:10" x14ac:dyDescent="0.3">
      <c r="A40">
        <v>38</v>
      </c>
      <c r="B40" t="str">
        <v>주식회사 카탈리스터</v>
      </c>
      <c r="C40" s="51">
        <v>46081</v>
      </c>
      <c r="D40" t="str">
        <v>2월</v>
      </c>
      <c r="E40" s="52">
        <v>132223</v>
      </c>
      <c r="F40" t="str">
        <v>기타수익</v>
      </c>
      <c r="G40" t="str">
        <v>기타</v>
      </c>
      <c r="H40" t="str">
        <v>카탈리스터(기타)</v>
      </c>
      <c r="I40" t="str">
        <v>[기타매출 / 가인식] 2월 4사 공용비용 분담금_카탈리스터</v>
      </c>
      <c r="J40" t="str">
        <v>← 4사 공용비용 분담금</v>
      </c>
    </row>
    <row r="41" spans="1:10" x14ac:dyDescent="0.3">
      <c r="A41">
        <v>41</v>
      </c>
      <c r="B41" t="str">
        <v>(주)게임테일즈</v>
      </c>
      <c r="C41" s="51">
        <v>46082</v>
      </c>
      <c r="D41" t="str">
        <v>3월</v>
      </c>
      <c r="E41" s="52">
        <v>-5351351</v>
      </c>
      <c r="F41" t="str">
        <v>기타수익</v>
      </c>
      <c r="G41" t="str">
        <v>기타</v>
      </c>
      <c r="H41" t="str">
        <v>게임테일즈</v>
      </c>
      <c r="I41" t="str">
        <v>2월 게임 테일즈 운영시스템 양도 1차 (20%) /원전표 FI20260228001185</v>
      </c>
      <c r="J41" t="str">
        <v>← 게임테일즈 운영시스템 양도/IP 사용료</v>
      </c>
    </row>
    <row r="42" spans="1:10" x14ac:dyDescent="0.3">
      <c r="A42">
        <v>42</v>
      </c>
      <c r="B42" t="str">
        <v>주식회사 카탈리스터</v>
      </c>
      <c r="C42" s="51">
        <v>46112</v>
      </c>
      <c r="D42" t="str">
        <v>3월</v>
      </c>
      <c r="E42" s="52">
        <v>835680</v>
      </c>
      <c r="F42" t="str">
        <v>기타수익</v>
      </c>
      <c r="G42" t="str">
        <v>기타</v>
      </c>
      <c r="H42" t="str">
        <v>카탈리스터(기타)</v>
      </c>
      <c r="I42" t="str">
        <v>[기타매출] 3월 카탈리스터 전대차 임대료</v>
      </c>
      <c r="J42" t="str">
        <v>← 4사 공용비용 분담금</v>
      </c>
    </row>
    <row r="43" spans="1:10" x14ac:dyDescent="0.3">
      <c r="A43">
        <v>43</v>
      </c>
      <c r="B43" t="str">
        <v>주식회사 데이세븐</v>
      </c>
      <c r="C43" s="51">
        <v>46112</v>
      </c>
      <c r="D43" t="str">
        <v>3월</v>
      </c>
      <c r="E43" s="52">
        <v>175000</v>
      </c>
      <c r="F43" t="str">
        <v>기타수익</v>
      </c>
      <c r="G43" t="str">
        <v>기타</v>
      </c>
      <c r="H43" t="str">
        <v>데이세븐(기타)</v>
      </c>
      <c r="I43" t="str">
        <v>[기타매출] 3월 데이세븐 전대차 임대료</v>
      </c>
      <c r="J43" t="str">
        <v>← 전대차 임대료</v>
      </c>
    </row>
    <row r="44" spans="1:10" x14ac:dyDescent="0.3">
      <c r="A44">
        <v>44</v>
      </c>
      <c r="B44" t="str">
        <v>주식회사 컴투스홀딩스</v>
      </c>
      <c r="C44" s="51">
        <v>46112</v>
      </c>
      <c r="D44" t="str">
        <v>3월</v>
      </c>
      <c r="E44" s="52">
        <v>6986725</v>
      </c>
      <c r="F44" t="str">
        <v>기타수익</v>
      </c>
      <c r="G44" t="str">
        <v>기타</v>
      </c>
      <c r="H44" t="str">
        <v>컴투스홀딩스(기타)</v>
      </c>
      <c r="I44" t="str">
        <v>[기타매출 / 확정] 3월 4사 공용비용 분담금_컴투스홀딩스</v>
      </c>
      <c r="J44" t="str">
        <v>← 그룹사 홍보비용 정산</v>
      </c>
    </row>
    <row r="45" spans="1:10" x14ac:dyDescent="0.3">
      <c r="A45">
        <v>45</v>
      </c>
      <c r="B45" t="str">
        <v>주식회사 컴투스플랫폼</v>
      </c>
      <c r="C45" s="51">
        <v>46112</v>
      </c>
      <c r="D45" t="str">
        <v>3월</v>
      </c>
      <c r="E45" s="52">
        <v>27819175</v>
      </c>
      <c r="F45" t="str">
        <v>기타수익</v>
      </c>
      <c r="G45" t="str">
        <v>기타</v>
      </c>
      <c r="H45" t="str">
        <v>컴투스플랫폼(기타)</v>
      </c>
      <c r="I45" t="str">
        <v>[기타매출 / 확정] 3월 4사 공용비용 분담금_컴투스플랫폼</v>
      </c>
      <c r="J45" t="str">
        <v>← 컴투스 상표 로열티, 4사 공용비용 분담금</v>
      </c>
    </row>
    <row r="46" spans="1:10" x14ac:dyDescent="0.3">
      <c r="A46">
        <v>46</v>
      </c>
      <c r="B46" t="str">
        <v>주식회사 카탈리스터</v>
      </c>
      <c r="C46" s="51">
        <v>46112</v>
      </c>
      <c r="D46" t="str">
        <v>3월</v>
      </c>
      <c r="E46" s="52">
        <v>39823</v>
      </c>
      <c r="F46" t="str">
        <v>기타수익</v>
      </c>
      <c r="G46" t="str">
        <v>기타</v>
      </c>
      <c r="H46" t="str">
        <v>카탈리스터(기타)</v>
      </c>
      <c r="I46" t="str">
        <v>[기타매출 / 확정] 3월 4사 공용비용 분담금_카탈리스터</v>
      </c>
      <c r="J46" t="str">
        <v>← 4사 공용비용 분담금</v>
      </c>
    </row>
    <row r="47" spans="1:10" x14ac:dyDescent="0.3">
      <c r="A47">
        <v>47</v>
      </c>
      <c r="B47" t="str">
        <v>주식회사 컴투스홀딩스</v>
      </c>
      <c r="C47" s="51">
        <v>46112</v>
      </c>
      <c r="D47" t="str">
        <v>3월</v>
      </c>
      <c r="E47" s="52">
        <v>11241702</v>
      </c>
      <c r="F47" t="str">
        <v>기타수익</v>
      </c>
      <c r="G47" t="str">
        <v>기타</v>
      </c>
      <c r="H47" t="str">
        <v>컴투스홀딩스(기타)</v>
      </c>
      <c r="I47" t="str">
        <v>[매출 / 가인식] 3월 그룹사 홍보비용 정산(홀딩스)</v>
      </c>
      <c r="J47" t="str">
        <v>← 그룹사 홍보비용 정산</v>
      </c>
    </row>
    <row r="48" spans="1:10" x14ac:dyDescent="0.3">
      <c r="A48">
        <v>48</v>
      </c>
      <c r="B48" t="str">
        <v>주식회사 컴투스플랫폼</v>
      </c>
      <c r="C48" s="51">
        <v>46112</v>
      </c>
      <c r="D48" t="str">
        <v>3월</v>
      </c>
      <c r="E48" s="52">
        <v>4822897</v>
      </c>
      <c r="F48" t="str">
        <v>기타수익</v>
      </c>
      <c r="G48" t="str">
        <v>기타</v>
      </c>
      <c r="H48" t="str">
        <v>컴투스플랫폼(기타)</v>
      </c>
      <c r="I48" t="str">
        <v>[매출 / 가인식] 3월 그룹사 홍보비용 정산(플랫폼)</v>
      </c>
      <c r="J48" t="str">
        <v>← 컴투스 상표 로열티, 4사 공용비용 분담금</v>
      </c>
    </row>
    <row r="49" spans="1:10" x14ac:dyDescent="0.3">
      <c r="A49">
        <v>49</v>
      </c>
      <c r="B49" t="str">
        <v>(주)게임테일즈</v>
      </c>
      <c r="C49" s="51">
        <v>46112</v>
      </c>
      <c r="D49" t="str">
        <v>3월</v>
      </c>
      <c r="E49" s="52">
        <v>50000000</v>
      </c>
      <c r="F49" t="str">
        <v>기타수익</v>
      </c>
      <c r="G49" t="str">
        <v>기타</v>
      </c>
      <c r="H49" t="str">
        <v>게임테일즈</v>
      </c>
      <c r="I49" t="str">
        <v>26년 3월 더 스타라이트 IP 기본 사용료 매출인식</v>
      </c>
      <c r="J49" t="str">
        <v>← 게임테일즈 운영시스템 양도/IP 사용료</v>
      </c>
    </row>
    <row r="50" spans="1:10" x14ac:dyDescent="0.3">
      <c r="A50">
        <v>50</v>
      </c>
      <c r="B50" t="str">
        <v>(주)에스비에스콘텐츠허브</v>
      </c>
      <c r="C50" s="51">
        <v>46112</v>
      </c>
      <c r="D50" t="str">
        <v>3월</v>
      </c>
      <c r="E50" s="52">
        <v>308257</v>
      </c>
      <c r="F50" t="str">
        <v>기타수익</v>
      </c>
      <c r="G50" t="str">
        <v>기타</v>
      </c>
      <c r="H50" t="str">
        <v>에스비에스콘텐츠허브</v>
      </c>
      <c r="I50" t="str">
        <v>03월/기타수익_매출/워너비챌린지 OST 음원매출</v>
      </c>
      <c r="J50" t="str">
        <v>← 워너비챌린지 음원매출</v>
      </c>
    </row>
    <row r="51" spans="1:10" x14ac:dyDescent="0.3">
      <c r="A51">
        <v>51</v>
      </c>
      <c r="B51" t="str">
        <v>주식회사 컴투스플랫폼</v>
      </c>
      <c r="C51" s="51">
        <v>46112</v>
      </c>
      <c r="D51" t="str">
        <v>3월</v>
      </c>
      <c r="E51" s="52">
        <v>23348</v>
      </c>
      <c r="F51" t="str">
        <v>기타수익</v>
      </c>
      <c r="G51" t="str">
        <v>기타</v>
      </c>
      <c r="H51" t="str">
        <v>컴투스플랫폼(기타)</v>
      </c>
      <c r="I51" t="str">
        <v>2026년 3월 붕어빵 타이쿤 IP로열티 정산분</v>
      </c>
      <c r="J51" t="str">
        <v>← 컴투스 상표 로열티, 4사 공용비용 분담금</v>
      </c>
    </row>
    <row r="52" spans="1:10" x14ac:dyDescent="0.3">
      <c r="A52">
        <v>52</v>
      </c>
      <c r="B52" t="str">
        <v>(주)밸로프(VALOFE Co., Ltd)</v>
      </c>
      <c r="C52" s="51">
        <v>46112</v>
      </c>
      <c r="D52" t="str">
        <v>3월</v>
      </c>
      <c r="E52" s="52">
        <v>28445172</v>
      </c>
      <c r="F52" t="str">
        <v>기타수익</v>
      </c>
      <c r="G52" t="str">
        <v>로열티수익</v>
      </c>
      <c r="H52" t="str">
        <v>밸로프(로열티)</v>
      </c>
      <c r="I52" t="str">
        <v>3월/매출_로열티정산/밸로프 제노니아 로열티 정산(2026년 3월)</v>
      </c>
      <c r="J52" t="str">
        <v>← 제노니아/루니아전기 로열티</v>
      </c>
    </row>
    <row r="53" spans="1:10" x14ac:dyDescent="0.3">
      <c r="A53">
        <v>53</v>
      </c>
      <c r="B53" t="str">
        <v>주식회사 하이브로</v>
      </c>
      <c r="C53" s="51">
        <v>46112</v>
      </c>
      <c r="D53" t="str">
        <v>3월</v>
      </c>
      <c r="E53" s="52">
        <v>16914524</v>
      </c>
      <c r="F53" t="str">
        <v>기타수익</v>
      </c>
      <c r="G53" t="str">
        <v>기타</v>
      </c>
      <c r="H53" t="str">
        <v>하이브로</v>
      </c>
      <c r="I53" t="str">
        <v>02월/매출_수익정산/하이브로 타이니팜 매출 정산(2026년 02월)</v>
      </c>
      <c r="J53" t="str">
        <v>← 타이니팜/드래곤럼블 매출 정산</v>
      </c>
    </row>
    <row r="54" spans="1:10" x14ac:dyDescent="0.3">
      <c r="A54">
        <v>54</v>
      </c>
      <c r="B54" t="str">
        <v>주식회사 하이브로</v>
      </c>
      <c r="C54" s="51">
        <v>46112</v>
      </c>
      <c r="D54" t="str">
        <v>3월</v>
      </c>
      <c r="E54" s="52">
        <v>2606428</v>
      </c>
      <c r="F54" t="str">
        <v>기타수익</v>
      </c>
      <c r="G54" t="str">
        <v>기타</v>
      </c>
      <c r="H54" t="str">
        <v>하이브로</v>
      </c>
      <c r="I54" t="str">
        <v>02월/매출_수익정산/하이브로 드래곤럼블 매출 정산(2026년 02월)</v>
      </c>
      <c r="J54" t="str">
        <v>← 타이니팜/드래곤럼블 매출 정산</v>
      </c>
    </row>
    <row r="55" spans="1:10" x14ac:dyDescent="0.3">
      <c r="A55">
        <v>55</v>
      </c>
      <c r="B55" t="str">
        <v>주식회사 컴투스홀딩스</v>
      </c>
      <c r="C55" s="51">
        <v>46112</v>
      </c>
      <c r="D55" t="str">
        <v>3월</v>
      </c>
      <c r="E55" s="52">
        <v>5606930</v>
      </c>
      <c r="F55" t="str">
        <v>기타수익</v>
      </c>
      <c r="G55" t="str">
        <v>기타</v>
      </c>
      <c r="H55" t="str">
        <v>컴투스홀딩스(기타)</v>
      </c>
      <c r="I55" t="str">
        <v>01월/매출_수익정산/워킹데드:올스타즈 매출 정산(2026년 1분기)</v>
      </c>
      <c r="J55" t="str">
        <v>← 그룹사 홍보비용 정산</v>
      </c>
    </row>
    <row r="56" spans="1:10" x14ac:dyDescent="0.3">
      <c r="A56">
        <v>56</v>
      </c>
      <c r="B56" t="str">
        <v>주식회사 컴투스홀딩스</v>
      </c>
      <c r="C56" s="51">
        <v>46112</v>
      </c>
      <c r="D56" t="str">
        <v>3월</v>
      </c>
      <c r="E56" s="52">
        <v>2241402</v>
      </c>
      <c r="F56" t="str">
        <v>기타수익</v>
      </c>
      <c r="G56" t="str">
        <v>기타</v>
      </c>
      <c r="H56" t="str">
        <v>컴투스홀딩스(기타)</v>
      </c>
      <c r="I56" t="str">
        <v>[매출/정산] 26년 3월 컴투스 상표 로열티_홀딩스</v>
      </c>
      <c r="J56" t="str">
        <v>← 그룹사 홍보비용 정산</v>
      </c>
    </row>
    <row r="57" spans="1:10" x14ac:dyDescent="0.3">
      <c r="A57">
        <v>57</v>
      </c>
      <c r="B57" t="str">
        <v>주식회사 컴투스홀딩스</v>
      </c>
      <c r="C57" s="51">
        <v>46112</v>
      </c>
      <c r="D57" t="str">
        <v>3월</v>
      </c>
      <c r="E57" s="52">
        <v>918925</v>
      </c>
      <c r="F57" t="str">
        <v>기타수익</v>
      </c>
      <c r="G57" t="str">
        <v>기타</v>
      </c>
      <c r="H57" t="str">
        <v>컴투스홀딩스(기타)</v>
      </c>
      <c r="I57" t="str">
        <v>[매출/정산] 26년 3월 컴투스 상표 로열티_플랫폼</v>
      </c>
      <c r="J57" t="str">
        <v>← 그룹사 홍보비용 정산</v>
      </c>
    </row>
    <row r="58" spans="1:10" x14ac:dyDescent="0.3">
      <c r="A58">
        <v>58</v>
      </c>
      <c r="B58" t="str">
        <v>과천펜타원 관리단</v>
      </c>
      <c r="C58" s="51">
        <v>46112</v>
      </c>
      <c r="D58" t="str">
        <v>3월</v>
      </c>
      <c r="E58" s="52">
        <v>-5273300</v>
      </c>
      <c r="F58" t="str">
        <v>기타수익</v>
      </c>
      <c r="G58" t="str">
        <v>기타</v>
      </c>
      <c r="H58" t="str">
        <v>과천펜타원 관리단</v>
      </c>
      <c r="I58" t="str">
        <v>과천펜타원 관리비 관련 계정대체</v>
      </c>
      <c r="J58" t="str">
        <v>과천펜타원 공실에 따른 주차수익, 계정대체</v>
      </c>
    </row>
    <row r="59" spans="1:10" x14ac:dyDescent="0.3">
      <c r="A59">
        <v>59</v>
      </c>
      <c r="B59" t="str">
        <v>과천펜타원 관리단</v>
      </c>
      <c r="C59" s="51">
        <v>46112</v>
      </c>
      <c r="D59" t="str">
        <v>3월</v>
      </c>
      <c r="E59" s="52">
        <v>5273300</v>
      </c>
      <c r="F59" t="str">
        <v>기타수익</v>
      </c>
      <c r="G59" t="str">
        <v>기타</v>
      </c>
      <c r="H59" t="str">
        <v>과천펜타원 관리단</v>
      </c>
      <c r="I59" t="str">
        <v>과천펜타원 공실에 다른 주차수익</v>
      </c>
      <c r="J59" t="str">
        <v>과천펜타원 공실에 따른 주차수익, 계정대체</v>
      </c>
    </row>
    <row r="60" spans="1:10" x14ac:dyDescent="0.3">
      <c r="A60">
        <v>60</v>
      </c>
      <c r="B60" t="str">
        <v>(주) 공게임즈</v>
      </c>
      <c r="C60" s="51">
        <v>46112</v>
      </c>
      <c r="D60" t="str">
        <v>3월</v>
      </c>
      <c r="E60" s="52">
        <v>38159602</v>
      </c>
      <c r="F60" t="str">
        <v>기타수익</v>
      </c>
      <c r="G60" t="str">
        <v>로열티수익</v>
      </c>
      <c r="H60" t="str">
        <v>공게임즈</v>
      </c>
      <c r="I60" t="str">
        <v>3월 선수협 퍼블리시티권 정산_공게임즈_이사만루</v>
      </c>
      <c r="J60">
        <v>0</v>
      </c>
    </row>
    <row r="61" spans="1:10" x14ac:dyDescent="0.3">
      <c r="A61">
        <v>61</v>
      </c>
      <c r="B61" t="str">
        <v>(주) 네오위즈스포츠</v>
      </c>
      <c r="C61" s="51">
        <v>46112</v>
      </c>
      <c r="D61" t="str">
        <v>3월</v>
      </c>
      <c r="E61" s="52">
        <v>56637702</v>
      </c>
      <c r="F61" t="str">
        <v>기타수익</v>
      </c>
      <c r="G61" t="str">
        <v>로열티수익</v>
      </c>
      <c r="H61" t="str">
        <v>네오위즈스포츠</v>
      </c>
      <c r="I61" t="str">
        <v>3월 선수협 퍼블리시티권 정산_네오위즈_슬리거(PC)</v>
      </c>
      <c r="J61">
        <v>0</v>
      </c>
    </row>
    <row r="62" spans="1:10" x14ac:dyDescent="0.3">
      <c r="A62">
        <v>62</v>
      </c>
      <c r="B62" t="str">
        <v>넷마블 주식회사</v>
      </c>
      <c r="C62" s="51">
        <v>46112</v>
      </c>
      <c r="D62" t="str">
        <v>3월</v>
      </c>
      <c r="E62" s="52">
        <v>65888200</v>
      </c>
      <c r="F62" t="str">
        <v>기타수익</v>
      </c>
      <c r="G62" t="str">
        <v>기타</v>
      </c>
      <c r="H62" t="str">
        <v>넷마블(기타)</v>
      </c>
      <c r="I62" t="str">
        <v>3월 선수협 퍼블리시티권 정산_넷마블_마구마구 리마스터(PC)</v>
      </c>
      <c r="J62">
        <v>0</v>
      </c>
    </row>
    <row r="63" spans="1:10" x14ac:dyDescent="0.3">
      <c r="A63">
        <v>63</v>
      </c>
      <c r="B63" t="str">
        <v>넷마블 주식회사</v>
      </c>
      <c r="C63" s="51">
        <v>46112</v>
      </c>
      <c r="D63" t="str">
        <v>3월</v>
      </c>
      <c r="E63" s="52">
        <v>65377785</v>
      </c>
      <c r="F63" t="str">
        <v>기타수익</v>
      </c>
      <c r="G63" t="str">
        <v>기타</v>
      </c>
      <c r="H63" t="str">
        <v>넷마블(기타)</v>
      </c>
      <c r="I63" t="str">
        <v>3월 선수협 퍼블리시티권 정산_넷마블_마구마구</v>
      </c>
      <c r="J63">
        <v>0</v>
      </c>
    </row>
    <row r="64" spans="1:10" x14ac:dyDescent="0.3">
      <c r="A64">
        <v>64</v>
      </c>
      <c r="B64" t="str">
        <v>주식회사 에이스프로젝트</v>
      </c>
      <c r="C64" s="51">
        <v>46112</v>
      </c>
      <c r="D64" t="str">
        <v>3월</v>
      </c>
      <c r="E64" s="52">
        <v>11340931</v>
      </c>
      <c r="F64" t="str">
        <v>기타수익</v>
      </c>
      <c r="G64" t="str">
        <v>로열티수익</v>
      </c>
      <c r="H64" t="str">
        <v>에이스프로젝트</v>
      </c>
      <c r="I64" t="str">
        <v>3월 선수협 퍼블리시티권 정산_에이스프로젝트_9UP프로야구</v>
      </c>
      <c r="J64">
        <v>0</v>
      </c>
    </row>
    <row r="65" spans="1:10" x14ac:dyDescent="0.3">
      <c r="A65">
        <v>65</v>
      </c>
      <c r="B65" t="str">
        <v>주식회사 위메이드</v>
      </c>
      <c r="C65" s="51">
        <v>46112</v>
      </c>
      <c r="D65" t="str">
        <v>3월</v>
      </c>
      <c r="E65" s="52">
        <v>1631962</v>
      </c>
      <c r="F65" t="str">
        <v>기타수익</v>
      </c>
      <c r="G65" t="str">
        <v>로열티수익</v>
      </c>
      <c r="H65" t="str">
        <v>위메이드</v>
      </c>
      <c r="I65" t="str">
        <v>3월 선수협 퍼블리시티권 정산_위메이드_판타스틱 베이스볼</v>
      </c>
      <c r="J65" t="str">
        <v>← 바터광고</v>
      </c>
    </row>
    <row r="66" spans="1:10" x14ac:dyDescent="0.3">
      <c r="A66">
        <v>69</v>
      </c>
      <c r="B66" t="str">
        <v>주식회사 컴투스홀딩스</v>
      </c>
      <c r="C66" s="51">
        <v>46113</v>
      </c>
      <c r="D66" t="str">
        <v>4월</v>
      </c>
      <c r="E66" s="52">
        <v>-918925</v>
      </c>
      <c r="F66" t="str">
        <v>기타수익</v>
      </c>
      <c r="G66" t="str">
        <v>기타</v>
      </c>
      <c r="H66" t="str">
        <v>컴투스홀딩스(기타)</v>
      </c>
      <c r="I66" t="str">
        <v>[매출/정산] 26년 3월 컴투스 상표 로열티_플랫폼_거래처수정</v>
      </c>
      <c r="J66" t="str">
        <v>← 그룹사 홍보비용 정산</v>
      </c>
    </row>
    <row r="67" spans="1:10" x14ac:dyDescent="0.3">
      <c r="A67">
        <v>70</v>
      </c>
      <c r="B67" t="str">
        <v>주식회사 컴투스플랫폼</v>
      </c>
      <c r="C67" s="51">
        <v>46113</v>
      </c>
      <c r="D67" t="str">
        <v>4월</v>
      </c>
      <c r="E67" s="52">
        <v>918925</v>
      </c>
      <c r="F67" t="str">
        <v>기타수익</v>
      </c>
      <c r="G67" t="str">
        <v>기타</v>
      </c>
      <c r="H67" t="str">
        <v>컴투스플랫폼(기타)</v>
      </c>
      <c r="I67" t="str">
        <v>[매출/정산] 26년 3월 컴투스 상표 로열티_플랫폼_거래처수정</v>
      </c>
      <c r="J67" t="str">
        <v>← 컴투스 상표 로열티, 4사 공용비용 분담금</v>
      </c>
    </row>
    <row r="68" spans="1:10" x14ac:dyDescent="0.3">
      <c r="A68">
        <v>71</v>
      </c>
      <c r="B68" t="str">
        <v>주식회사 컴투스홀딩스</v>
      </c>
      <c r="C68" s="51">
        <v>46113</v>
      </c>
      <c r="D68" t="str">
        <v>4월</v>
      </c>
      <c r="E68" s="52">
        <v>-11241702</v>
      </c>
      <c r="F68" t="str">
        <v>기타수익</v>
      </c>
      <c r="G68" t="str">
        <v>기타</v>
      </c>
      <c r="H68" t="str">
        <v>컴투스홀딩스(기타)</v>
      </c>
      <c r="I68" t="str">
        <v>[매출 / 가인식] 1월 그룹사 홍보비용 정산(홀딩스)</v>
      </c>
      <c r="J68" t="str">
        <v>← 그룹사 홍보비용 정산</v>
      </c>
    </row>
    <row r="69" spans="1:10" x14ac:dyDescent="0.3">
      <c r="A69">
        <v>72</v>
      </c>
      <c r="B69" t="str">
        <v>주식회사 컴투스홀딩스</v>
      </c>
      <c r="C69" s="51">
        <v>46113</v>
      </c>
      <c r="D69" t="str">
        <v>4월</v>
      </c>
      <c r="E69" s="52">
        <v>-11241702</v>
      </c>
      <c r="F69" t="str">
        <v>기타수익</v>
      </c>
      <c r="G69" t="str">
        <v>기타</v>
      </c>
      <c r="H69" t="str">
        <v>컴투스홀딩스(기타)</v>
      </c>
      <c r="I69" t="str">
        <v>[매출 / 가인식] 2월 그룹사 홍보비용 정산(홀딩스)</v>
      </c>
      <c r="J69" t="str">
        <v>← 그룹사 홍보비용 정산</v>
      </c>
    </row>
    <row r="70" spans="1:10" x14ac:dyDescent="0.3">
      <c r="A70">
        <v>73</v>
      </c>
      <c r="B70" t="str">
        <v>주식회사 컴투스플랫폼</v>
      </c>
      <c r="C70" s="51">
        <v>46113</v>
      </c>
      <c r="D70" t="str">
        <v>4월</v>
      </c>
      <c r="E70" s="52">
        <v>-4822897</v>
      </c>
      <c r="F70" t="str">
        <v>기타수익</v>
      </c>
      <c r="G70" t="str">
        <v>기타</v>
      </c>
      <c r="H70" t="str">
        <v>컴투스플랫폼(기타)</v>
      </c>
      <c r="I70" t="str">
        <v>[매출 / 가인식] 1월 그룹사 홍보비용 정산(플랫폼)</v>
      </c>
      <c r="J70" t="str">
        <v>← 컴투스 상표 로열티, 4사 공용비용 분담금</v>
      </c>
    </row>
    <row r="71" spans="1:10" x14ac:dyDescent="0.3">
      <c r="A71">
        <v>74</v>
      </c>
      <c r="B71" t="str">
        <v>주식회사 컴투스플랫폼</v>
      </c>
      <c r="C71" s="51">
        <v>46113</v>
      </c>
      <c r="D71" t="str">
        <v>4월</v>
      </c>
      <c r="E71" s="52">
        <v>-4822897</v>
      </c>
      <c r="F71" t="str">
        <v>기타수익</v>
      </c>
      <c r="G71" t="str">
        <v>기타</v>
      </c>
      <c r="H71" t="str">
        <v>컴투스플랫폼(기타)</v>
      </c>
      <c r="I71" t="str">
        <v>[매출 / 가인식] 2월 그룹사 홍보비용 정산(플랫폼)</v>
      </c>
      <c r="J71" t="str">
        <v>← 컴투스 상표 로열티, 4사 공용비용 분담금</v>
      </c>
    </row>
    <row r="72" spans="1:10" x14ac:dyDescent="0.3">
      <c r="A72">
        <v>75</v>
      </c>
      <c r="B72" t="str">
        <v>주식회사 컴투스홀딩스</v>
      </c>
      <c r="C72" s="51">
        <v>46113</v>
      </c>
      <c r="D72" t="str">
        <v>4월</v>
      </c>
      <c r="E72" s="52">
        <v>-11241702</v>
      </c>
      <c r="F72" t="str">
        <v>기타수익</v>
      </c>
      <c r="G72" t="str">
        <v>기타</v>
      </c>
      <c r="H72" t="str">
        <v>컴투스홀딩스(기타)</v>
      </c>
      <c r="I72" t="str">
        <v>[매출 / 가인식] 3월 그룹사 홍보비용 정산(홀딩스) / 역분개</v>
      </c>
      <c r="J72" t="str">
        <v>← 그룹사 홍보비용 정산</v>
      </c>
    </row>
    <row r="73" spans="1:10" x14ac:dyDescent="0.3">
      <c r="A73">
        <v>76</v>
      </c>
      <c r="B73" t="str">
        <v>주식회사 컴투스플랫폼</v>
      </c>
      <c r="C73" s="51">
        <v>46113</v>
      </c>
      <c r="D73" t="str">
        <v>4월</v>
      </c>
      <c r="E73" s="52">
        <v>-4822897</v>
      </c>
      <c r="F73" t="str">
        <v>기타수익</v>
      </c>
      <c r="G73" t="str">
        <v>기타</v>
      </c>
      <c r="H73" t="str">
        <v>컴투스플랫폼(기타)</v>
      </c>
      <c r="I73" t="str">
        <v>[매출 / 가인식] 3월 그룹사 홍보비용 정산(플랫폼) / 역분개</v>
      </c>
      <c r="J73" t="str">
        <v>← 컴투스 상표 로열티, 4사 공용비용 분담금</v>
      </c>
    </row>
    <row r="74" spans="1:10" x14ac:dyDescent="0.3">
      <c r="A74">
        <v>77</v>
      </c>
      <c r="B74" t="str">
        <v>(주)게임테일즈</v>
      </c>
      <c r="C74" s="51">
        <v>46113</v>
      </c>
      <c r="D74" t="str">
        <v>4월</v>
      </c>
      <c r="E74" s="52">
        <v>36246072</v>
      </c>
      <c r="F74" t="str">
        <v>기타수익</v>
      </c>
      <c r="G74" t="str">
        <v>기타</v>
      </c>
      <c r="H74" t="str">
        <v>게임테일즈</v>
      </c>
      <c r="I74" t="str">
        <v>26년 3월 더 스타라이트 IP 추가 사용료 매출인식</v>
      </c>
      <c r="J74" t="str">
        <v>← 게임테일즈 운영시스템 양도/IP 사용료</v>
      </c>
    </row>
    <row r="75" spans="1:10" x14ac:dyDescent="0.3">
      <c r="A75">
        <v>78</v>
      </c>
      <c r="B75" t="str">
        <v>(주)밸로프(VALOFE Co., Ltd)</v>
      </c>
      <c r="C75" s="51">
        <v>46113</v>
      </c>
      <c r="D75" t="str">
        <v>4월</v>
      </c>
      <c r="E75" s="52">
        <v>270330</v>
      </c>
      <c r="F75" t="str">
        <v>기타수익</v>
      </c>
      <c r="G75" t="str">
        <v>로열티수익</v>
      </c>
      <c r="H75" t="str">
        <v>밸로프(로열티)</v>
      </c>
      <c r="I75" t="str">
        <v>2026년 1분기/ 매출_CDN 비용 정산 / 밸로프 아카마이 CDN 비용 정산 (2026년 1분기)</v>
      </c>
      <c r="J75" t="str">
        <v>← 제노니아/루니아전기 로열티</v>
      </c>
    </row>
    <row r="76" spans="1:10" x14ac:dyDescent="0.3">
      <c r="A76">
        <v>79</v>
      </c>
      <c r="B76" t="str">
        <v>주식회사 컴투스홀딩스</v>
      </c>
      <c r="C76" s="51">
        <v>46136</v>
      </c>
      <c r="D76" t="str">
        <v>4월</v>
      </c>
      <c r="E76" s="52">
        <v>33374839</v>
      </c>
      <c r="F76" t="str">
        <v>기타수익</v>
      </c>
      <c r="G76" t="str">
        <v>기타</v>
      </c>
      <c r="H76" t="str">
        <v>컴투스홀딩스(기타)</v>
      </c>
      <c r="I76" t="str">
        <v>2026년도 1분기 그룹사 홍보비용 정산</v>
      </c>
      <c r="J76" t="str">
        <v>← 그룹사 홍보비용 정산</v>
      </c>
    </row>
    <row r="77" spans="1:10" x14ac:dyDescent="0.3">
      <c r="A77">
        <v>80</v>
      </c>
      <c r="B77" t="str">
        <v>주식회사 컴투스플랫폼</v>
      </c>
      <c r="C77" s="51">
        <v>46136</v>
      </c>
      <c r="D77" t="str">
        <v>4월</v>
      </c>
      <c r="E77" s="52">
        <v>26822391</v>
      </c>
      <c r="F77" t="str">
        <v>기타수익</v>
      </c>
      <c r="G77" t="str">
        <v>기타</v>
      </c>
      <c r="H77" t="str">
        <v>컴투스플랫폼(기타)</v>
      </c>
      <c r="I77" t="str">
        <v>2026년도 1분기 그룹사 홍보비용 정산</v>
      </c>
      <c r="J77" t="str">
        <v>← 컴투스 상표 로열티, 4사 공용비용 분담금</v>
      </c>
    </row>
    <row r="78" spans="1:10" x14ac:dyDescent="0.3">
      <c r="A78">
        <v>81</v>
      </c>
      <c r="B78" t="str">
        <v>주식회사 컴투스홀딩스</v>
      </c>
      <c r="C78" s="51">
        <v>46142</v>
      </c>
      <c r="D78" t="str">
        <v>4월</v>
      </c>
      <c r="E78" s="52">
        <v>11124946</v>
      </c>
      <c r="F78" t="str">
        <v>기타수익</v>
      </c>
      <c r="G78" t="str">
        <v>기타</v>
      </c>
      <c r="H78" t="str">
        <v>컴투스홀딩스(기타)</v>
      </c>
      <c r="I78" t="str">
        <v>[매출 / 가인식] 4월 그룹사 홍보비용 정산(홀딩스)</v>
      </c>
      <c r="J78" t="str">
        <v>← 그룹사 홍보비용 정산</v>
      </c>
    </row>
    <row r="79" spans="1:10" x14ac:dyDescent="0.3">
      <c r="A79">
        <v>82</v>
      </c>
      <c r="B79" t="str">
        <v>주식회사 컴투스플랫폼</v>
      </c>
      <c r="C79" s="51">
        <v>46142</v>
      </c>
      <c r="D79" t="str">
        <v>4월</v>
      </c>
      <c r="E79" s="52">
        <v>8940797</v>
      </c>
      <c r="F79" t="str">
        <v>기타수익</v>
      </c>
      <c r="G79" t="str">
        <v>기타</v>
      </c>
      <c r="H79" t="str">
        <v>컴투스플랫폼(기타)</v>
      </c>
      <c r="I79" t="str">
        <v>[매출 / 가인식] 4월 그룹사 홍보비용 정산(플랫폼)</v>
      </c>
      <c r="J79" t="str">
        <v>← 컴투스 상표 로열티, 4사 공용비용 분담금</v>
      </c>
    </row>
    <row r="80" spans="1:10" x14ac:dyDescent="0.3">
      <c r="A80">
        <v>83</v>
      </c>
      <c r="B80" t="str">
        <v>주식회사 컴투스홀딩스</v>
      </c>
      <c r="C80" s="51">
        <v>46142</v>
      </c>
      <c r="D80" t="str">
        <v>4월</v>
      </c>
      <c r="E80" s="52">
        <v>11027738</v>
      </c>
      <c r="F80" t="str">
        <v>기타수익</v>
      </c>
      <c r="G80" t="str">
        <v>기타</v>
      </c>
      <c r="H80" t="str">
        <v>컴투스홀딩스(기타)</v>
      </c>
      <c r="I80" t="str">
        <v>[기타매출 / 가인식] 4월 4사 공용비용 분담금_컴투스홀딩스</v>
      </c>
      <c r="J80" t="str">
        <v>← 그룹사 홍보비용 정산</v>
      </c>
    </row>
    <row r="81" spans="1:10" x14ac:dyDescent="0.3">
      <c r="A81">
        <v>84</v>
      </c>
      <c r="B81" t="str">
        <v>주식회사 컴투스플랫폼</v>
      </c>
      <c r="C81" s="51">
        <v>46142</v>
      </c>
      <c r="D81" t="str">
        <v>4월</v>
      </c>
      <c r="E81" s="52">
        <v>28871506</v>
      </c>
      <c r="F81" t="str">
        <v>기타수익</v>
      </c>
      <c r="G81" t="str">
        <v>기타</v>
      </c>
      <c r="H81" t="str">
        <v>컴투스플랫폼(기타)</v>
      </c>
      <c r="I81" t="str">
        <v>[기타매출 / 가인식] 4월 4사 공용비용 분담금_컴투스플랫폼</v>
      </c>
      <c r="J81" t="str">
        <v>← 컴투스 상표 로열티, 4사 공용비용 분담금</v>
      </c>
    </row>
    <row r="82" spans="1:10" x14ac:dyDescent="0.3">
      <c r="A82">
        <v>85</v>
      </c>
      <c r="B82" t="str">
        <v>주식회사 카탈리스터</v>
      </c>
      <c r="C82" s="51">
        <v>46142</v>
      </c>
      <c r="D82" t="str">
        <v>4월</v>
      </c>
      <c r="E82" s="52">
        <v>101423</v>
      </c>
      <c r="F82" t="str">
        <v>기타수익</v>
      </c>
      <c r="G82" t="str">
        <v>기타</v>
      </c>
      <c r="H82" t="str">
        <v>카탈리스터(기타)</v>
      </c>
      <c r="I82" t="str">
        <v>[기타매출 / 가인식] 4월 4사 공용비용 분담금_카탈리스터</v>
      </c>
      <c r="J82" t="str">
        <v>← 4사 공용비용 분담금</v>
      </c>
    </row>
    <row r="83" spans="1:10" x14ac:dyDescent="0.3">
      <c r="A83">
        <v>86</v>
      </c>
      <c r="B83" t="str">
        <v>주식회사 카탈리스터</v>
      </c>
      <c r="C83" s="51">
        <v>46142</v>
      </c>
      <c r="D83" t="str">
        <v>4월</v>
      </c>
      <c r="E83" s="52">
        <v>835680</v>
      </c>
      <c r="F83" t="str">
        <v>기타수익</v>
      </c>
      <c r="G83" t="str">
        <v>기타</v>
      </c>
      <c r="H83" t="str">
        <v>카탈리스터(기타)</v>
      </c>
      <c r="I83" t="str">
        <v>[기타매출] 4월 카탈리스터 전대차 임대료</v>
      </c>
      <c r="J83" t="str">
        <v>← 4사 공용비용 분담금</v>
      </c>
    </row>
    <row r="84" spans="1:10" x14ac:dyDescent="0.3">
      <c r="A84">
        <v>87</v>
      </c>
      <c r="B84" t="str">
        <v>주식회사 데이세븐</v>
      </c>
      <c r="C84" s="51">
        <v>46142</v>
      </c>
      <c r="D84" t="str">
        <v>4월</v>
      </c>
      <c r="E84" s="52">
        <v>175000</v>
      </c>
      <c r="F84" t="str">
        <v>기타수익</v>
      </c>
      <c r="G84" t="str">
        <v>기타</v>
      </c>
      <c r="H84" t="str">
        <v>데이세븐(기타)</v>
      </c>
      <c r="I84" t="str">
        <v>[기타매출] 4월 데이세븐 전대차 임대료</v>
      </c>
      <c r="J84" t="str">
        <v>← 전대차 임대료</v>
      </c>
    </row>
    <row r="85" spans="1:10" x14ac:dyDescent="0.3">
      <c r="A85">
        <v>88</v>
      </c>
      <c r="B85" t="str">
        <v>(주)에스비에스콘텐츠허브</v>
      </c>
      <c r="C85" s="51">
        <v>46142</v>
      </c>
      <c r="D85" t="str">
        <v>4월</v>
      </c>
      <c r="E85" s="52">
        <v>140822</v>
      </c>
      <c r="F85" t="str">
        <v>기타수익</v>
      </c>
      <c r="G85" t="str">
        <v>기타</v>
      </c>
      <c r="H85" t="str">
        <v>에스비에스콘텐츠허브</v>
      </c>
      <c r="I85" t="str">
        <v>04월/기타수익_매출/워너비챌린지 OST 음원매출</v>
      </c>
      <c r="J85" t="str">
        <v>← 워너비챌린지 음원매출</v>
      </c>
    </row>
    <row r="86" spans="1:10" x14ac:dyDescent="0.3">
      <c r="A86">
        <v>89</v>
      </c>
      <c r="B86" t="str">
        <v>주식회사 컴투스플랫폼</v>
      </c>
      <c r="C86" s="51">
        <v>46142</v>
      </c>
      <c r="D86" t="str">
        <v>4월</v>
      </c>
      <c r="E86" s="52">
        <v>162700</v>
      </c>
      <c r="F86" t="str">
        <v>기타수익</v>
      </c>
      <c r="G86" t="str">
        <v>기타</v>
      </c>
      <c r="H86" t="str">
        <v>컴투스플랫폼(기타)</v>
      </c>
      <c r="I86" t="str">
        <v>2026년 4월 붕어빵 타이쿤 IP로열티 정산분</v>
      </c>
      <c r="J86" t="str">
        <v>← 컴투스 상표 로열티, 4사 공용비용 분담금</v>
      </c>
    </row>
    <row r="87" spans="1:10" x14ac:dyDescent="0.3">
      <c r="A87">
        <v>90</v>
      </c>
      <c r="B87" t="str">
        <v>주식회사 케나즈</v>
      </c>
      <c r="C87" s="51">
        <v>46142</v>
      </c>
      <c r="D87" t="str">
        <v>4월</v>
      </c>
      <c r="E87" s="52">
        <v>23759</v>
      </c>
      <c r="F87" t="str">
        <v>기타수익</v>
      </c>
      <c r="G87" t="str">
        <v>로열티수익</v>
      </c>
      <c r="H87" t="str">
        <v>케나즈</v>
      </c>
      <c r="I87" t="str">
        <v>4월/로열티 매출/26년 1Q KENAZ의 '서머너즈 워' IP 웹툰 6종 서비스 원작료 정산</v>
      </c>
      <c r="J87" t="str">
        <v>← 서머너즈워 IP 활용 웹툰 정산금</v>
      </c>
    </row>
    <row r="88" spans="1:10" x14ac:dyDescent="0.3">
      <c r="A88">
        <v>91</v>
      </c>
      <c r="B88" t="str">
        <v>(주)밸로프(VALOFE Co., Ltd)</v>
      </c>
      <c r="C88" s="51">
        <v>46142</v>
      </c>
      <c r="D88" t="str">
        <v>4월</v>
      </c>
      <c r="E88" s="52">
        <v>19424576</v>
      </c>
      <c r="F88" t="str">
        <v>기타수익</v>
      </c>
      <c r="G88" t="str">
        <v>로열티수익</v>
      </c>
      <c r="H88" t="str">
        <v>밸로프(로열티)</v>
      </c>
      <c r="I88" t="str">
        <v>4월/매출_로열티정산/밸로프 제노니아 로열티 정산(2026년 4월)</v>
      </c>
      <c r="J88" t="str">
        <v>← 제노니아/루니아전기 로열티</v>
      </c>
    </row>
    <row r="89" spans="1:10" x14ac:dyDescent="0.3">
      <c r="A89">
        <v>92</v>
      </c>
      <c r="B89" t="str">
        <v>(주)게임테일즈</v>
      </c>
      <c r="C89" s="51">
        <v>46142</v>
      </c>
      <c r="D89" t="str">
        <v>4월</v>
      </c>
      <c r="E89" s="52">
        <v>50000000</v>
      </c>
      <c r="F89" t="str">
        <v>기타수익</v>
      </c>
      <c r="G89" t="str">
        <v>기타</v>
      </c>
      <c r="H89" t="str">
        <v>게임테일즈</v>
      </c>
      <c r="I89" t="str">
        <v>26년 4월 더 스타라이트 IP 기본 사용료 매출인식</v>
      </c>
      <c r="J89" t="str">
        <v>← 게임테일즈 운영시스템 양도/IP 사용료</v>
      </c>
    </row>
    <row r="90" spans="1:10" x14ac:dyDescent="0.3">
      <c r="A90">
        <v>93</v>
      </c>
      <c r="B90" t="str">
        <v>주식회사 하이브로</v>
      </c>
      <c r="C90" s="51">
        <v>46142</v>
      </c>
      <c r="D90" t="str">
        <v>4월</v>
      </c>
      <c r="E90" s="52">
        <v>19374429</v>
      </c>
      <c r="F90" t="str">
        <v>기타수익</v>
      </c>
      <c r="G90" t="str">
        <v>기타</v>
      </c>
      <c r="H90" t="str">
        <v>하이브로</v>
      </c>
      <c r="I90" t="str">
        <v>04월/매출_수익정산/하이브로 타이니팜 매출 정산(2026년 03월)수익정산</v>
      </c>
      <c r="J90" t="str">
        <v>← 타이니팜/드래곤럼블 매출 정산</v>
      </c>
    </row>
    <row r="91" spans="1:10" x14ac:dyDescent="0.3">
      <c r="A91">
        <v>94</v>
      </c>
      <c r="B91" t="str">
        <v>주식회사 하이브로</v>
      </c>
      <c r="C91" s="51">
        <v>46142</v>
      </c>
      <c r="D91" t="str">
        <v>4월</v>
      </c>
      <c r="E91" s="52">
        <v>1505967</v>
      </c>
      <c r="F91" t="str">
        <v>기타수익</v>
      </c>
      <c r="G91" t="str">
        <v>기타</v>
      </c>
      <c r="H91" t="str">
        <v>하이브로</v>
      </c>
      <c r="I91" t="str">
        <v>04월/매출_수익정산/하이브로 드래곤럼블 매출 정산(2026년 03월)</v>
      </c>
      <c r="J91" t="str">
        <v>← 타이니팜/드래곤럼블 매출 정산</v>
      </c>
    </row>
    <row r="92" spans="1:10" x14ac:dyDescent="0.3">
      <c r="A92">
        <v>95</v>
      </c>
      <c r="B92" t="str">
        <v>주식회사 컴투스홀딩스</v>
      </c>
      <c r="C92" s="51">
        <v>46142</v>
      </c>
      <c r="D92" t="str">
        <v>4월</v>
      </c>
      <c r="E92" s="52">
        <v>1988901</v>
      </c>
      <c r="F92" t="str">
        <v>기타수익</v>
      </c>
      <c r="G92" t="str">
        <v>기타</v>
      </c>
      <c r="H92" t="str">
        <v>컴투스홀딩스(기타)</v>
      </c>
      <c r="I92" t="str">
        <v>[매출/정산] 26년 4월 컴투스 상표 로열티_홀딩스</v>
      </c>
      <c r="J92" t="str">
        <v>← 그룹사 홍보비용 정산</v>
      </c>
    </row>
    <row r="93" spans="1:10" x14ac:dyDescent="0.3">
      <c r="A93">
        <v>96</v>
      </c>
      <c r="B93" t="str">
        <v>주식회사 컴투스홀딩스</v>
      </c>
      <c r="C93" s="51">
        <v>46142</v>
      </c>
      <c r="D93" t="str">
        <v>4월</v>
      </c>
      <c r="E93" s="52">
        <v>806224</v>
      </c>
      <c r="F93" t="str">
        <v>기타수익</v>
      </c>
      <c r="G93" t="str">
        <v>기타</v>
      </c>
      <c r="H93" t="str">
        <v>컴투스홀딩스(기타)</v>
      </c>
      <c r="I93" t="str">
        <v>[매출/정산] 26년 4월 컴투스 상표 로열티_플랫폼</v>
      </c>
      <c r="J93" t="str">
        <v>← 그룹사 홍보비용 정산</v>
      </c>
    </row>
    <row r="94" spans="1:10" x14ac:dyDescent="0.3">
      <c r="A94">
        <v>97</v>
      </c>
      <c r="B94" t="str">
        <v>(주) 공게임즈</v>
      </c>
      <c r="C94" s="51">
        <v>46142</v>
      </c>
      <c r="D94" t="str">
        <v>4월</v>
      </c>
      <c r="E94" s="52">
        <v>22132224</v>
      </c>
      <c r="F94" t="str">
        <v>기타수익</v>
      </c>
      <c r="G94" t="str">
        <v>로열티수익</v>
      </c>
      <c r="H94" t="str">
        <v>공게임즈</v>
      </c>
      <c r="I94" t="str">
        <v>4월 선수협 퍼블리시티권 정산_공게임즈_이사만루</v>
      </c>
      <c r="J94">
        <v>0</v>
      </c>
    </row>
    <row r="95" spans="1:10" x14ac:dyDescent="0.3">
      <c r="A95">
        <v>98</v>
      </c>
      <c r="B95" t="str">
        <v>(주) 네오위즈스포츠</v>
      </c>
      <c r="C95" s="51">
        <v>46142</v>
      </c>
      <c r="D95" t="str">
        <v>4월</v>
      </c>
      <c r="E95" s="52">
        <v>17450350</v>
      </c>
      <c r="F95" t="str">
        <v>기타수익</v>
      </c>
      <c r="G95" t="str">
        <v>로열티수익</v>
      </c>
      <c r="H95" t="str">
        <v>네오위즈스포츠</v>
      </c>
      <c r="I95" t="str">
        <v>4월 선수협 퍼블리시티권 정산_네오위즈 스포츠_슬러거</v>
      </c>
      <c r="J95">
        <v>0</v>
      </c>
    </row>
    <row r="96" spans="1:10" x14ac:dyDescent="0.3">
      <c r="A96">
        <v>99</v>
      </c>
      <c r="B96" t="str">
        <v>넷마블 주식회사</v>
      </c>
      <c r="C96" s="51">
        <v>46142</v>
      </c>
      <c r="D96" t="str">
        <v>4월</v>
      </c>
      <c r="E96" s="52">
        <v>19466595</v>
      </c>
      <c r="F96" t="str">
        <v>기타수익</v>
      </c>
      <c r="G96" t="str">
        <v>기타</v>
      </c>
      <c r="H96" t="str">
        <v>넷마블(기타)</v>
      </c>
      <c r="I96" t="str">
        <v>4월 선수협 퍼블리시티권 정산_넷마블_마구마구 리마스터</v>
      </c>
      <c r="J96">
        <v>0</v>
      </c>
    </row>
    <row r="97" spans="1:10" x14ac:dyDescent="0.3">
      <c r="A97">
        <v>100</v>
      </c>
      <c r="B97" t="str">
        <v>넷마블 주식회사</v>
      </c>
      <c r="C97" s="51">
        <v>46142</v>
      </c>
      <c r="D97" t="str">
        <v>4월</v>
      </c>
      <c r="E97" s="52">
        <v>12735678</v>
      </c>
      <c r="F97" t="str">
        <v>기타수익</v>
      </c>
      <c r="G97" t="str">
        <v>기타</v>
      </c>
      <c r="H97" t="str">
        <v>넷마블(기타)</v>
      </c>
      <c r="I97" t="str">
        <v>4월 선수협 퍼블리시티권 정산_넷마블_마구마구</v>
      </c>
      <c r="J97">
        <v>0</v>
      </c>
    </row>
    <row r="98" spans="1:10" x14ac:dyDescent="0.3">
      <c r="A98">
        <v>101</v>
      </c>
      <c r="B98" t="str">
        <v>주식회사 에이스프로젝트</v>
      </c>
      <c r="C98" s="51">
        <v>46142</v>
      </c>
      <c r="D98" t="str">
        <v>4월</v>
      </c>
      <c r="E98" s="52">
        <v>5803546</v>
      </c>
      <c r="F98" t="str">
        <v>기타수익</v>
      </c>
      <c r="G98" t="str">
        <v>로열티수익</v>
      </c>
      <c r="H98" t="str">
        <v>에이스프로젝트</v>
      </c>
      <c r="I98" t="str">
        <v>4월 선수협 퍼블리시티권 정산_에이스프로젝트_9UP프로야구</v>
      </c>
      <c r="J98">
        <v>0</v>
      </c>
    </row>
    <row r="99" spans="1:10" x14ac:dyDescent="0.3">
      <c r="A99">
        <v>102</v>
      </c>
      <c r="B99" t="str">
        <v>주식회사 위메이드</v>
      </c>
      <c r="C99" s="51">
        <v>46142</v>
      </c>
      <c r="D99" t="str">
        <v>4월</v>
      </c>
      <c r="E99" s="52">
        <v>635256</v>
      </c>
      <c r="F99" t="str">
        <v>기타수익</v>
      </c>
      <c r="G99" t="str">
        <v>로열티수익</v>
      </c>
      <c r="H99" t="str">
        <v>위메이드</v>
      </c>
      <c r="I99" t="str">
        <v>4월 선수협 퍼블리시티권 정산_위메이드_판타스틱 베이스볼</v>
      </c>
      <c r="J99" t="str">
        <v>← 바터광고</v>
      </c>
    </row>
    <row r="100" spans="1:10" x14ac:dyDescent="0.3">
      <c r="A100">
        <v>103</v>
      </c>
      <c r="B100" t="str">
        <v>주식회사 해긴</v>
      </c>
      <c r="C100" s="51">
        <v>46142</v>
      </c>
      <c r="D100" t="str">
        <v>4월</v>
      </c>
      <c r="E100" s="52">
        <v>25393862</v>
      </c>
      <c r="F100" t="str">
        <v>기타수익</v>
      </c>
      <c r="G100" t="str">
        <v>로열티수익</v>
      </c>
      <c r="H100" t="str">
        <v>해긴</v>
      </c>
      <c r="I100" t="str">
        <v>4월 선수협 퍼블리시티권 정산_해긴_프로야구GO!</v>
      </c>
      <c r="J100" t="str">
        <v>← 프로야구GO! 선수협 정산</v>
      </c>
    </row>
    <row r="101" spans="1:10" x14ac:dyDescent="0.3">
      <c r="A101">
        <v>104</v>
      </c>
      <c r="B101" t="str">
        <v>Out of the park Developments GmbH &amp; Co.KG(OOTP)</v>
      </c>
      <c r="C101" s="51">
        <v>46142</v>
      </c>
      <c r="D101" t="str">
        <v>4월</v>
      </c>
      <c r="E101" s="52">
        <v>447693</v>
      </c>
      <c r="F101" t="str">
        <v>기타수익</v>
      </c>
      <c r="G101" t="str">
        <v>로열티수익</v>
      </c>
      <c r="H101" t="str">
        <v>OOTP(로열티)</v>
      </c>
      <c r="I101" t="str">
        <v>4월 선수협 퍼블리시티권 정산_OOTP_OOTP26</v>
      </c>
      <c r="J101" t="str">
        <v>← 선수협 퍼블리시티권 정산</v>
      </c>
    </row>
    <row r="102" spans="1:10" x14ac:dyDescent="0.3">
      <c r="A102">
        <v>1</v>
      </c>
      <c r="B102" t="str">
        <v>주식회사 컴투스홀딩스</v>
      </c>
      <c r="C102" s="51">
        <v>46023</v>
      </c>
      <c r="D102" t="str">
        <v>1월</v>
      </c>
      <c r="E102" s="52">
        <v>-232573202</v>
      </c>
      <c r="F102" t="str">
        <v>용역수익</v>
      </c>
      <c r="G102" t="str">
        <v>경영관리수익</v>
      </c>
      <c r="H102" t="str">
        <v>컴투스홀딩스</v>
      </c>
      <c r="I102" t="str">
        <v>10월 컴투스-컴투스홀딩스 업무위탁계약 용역비</v>
      </c>
      <c r="J102" t="str">
        <v>← 라이브게임 용역료, 업무위탁용역비</v>
      </c>
    </row>
    <row r="103" spans="1:10" x14ac:dyDescent="0.3">
      <c r="A103">
        <v>2</v>
      </c>
      <c r="B103" t="str">
        <v>주식회사 컴투스홀딩스</v>
      </c>
      <c r="C103" s="51">
        <v>46023</v>
      </c>
      <c r="D103" t="str">
        <v>1월</v>
      </c>
      <c r="E103" s="52">
        <v>-232573202</v>
      </c>
      <c r="F103" t="str">
        <v>용역수익</v>
      </c>
      <c r="G103" t="str">
        <v>경영관리수익</v>
      </c>
      <c r="H103" t="str">
        <v>컴투스홀딩스</v>
      </c>
      <c r="I103" t="str">
        <v>11월 컴투스-컴투스홀딩스 업무위탁계약 용역비 예상인식</v>
      </c>
      <c r="J103" t="str">
        <v>← 라이브게임 용역료, 업무위탁용역비</v>
      </c>
    </row>
    <row r="104" spans="1:10" x14ac:dyDescent="0.3">
      <c r="A104">
        <v>3</v>
      </c>
      <c r="B104" t="str">
        <v>주식회사 컴투스홀딩스</v>
      </c>
      <c r="C104" s="51">
        <v>46023</v>
      </c>
      <c r="D104" t="str">
        <v>1월</v>
      </c>
      <c r="E104" s="52">
        <v>-232573202</v>
      </c>
      <c r="F104" t="str">
        <v>용역수익</v>
      </c>
      <c r="G104" t="str">
        <v>경영관리수익</v>
      </c>
      <c r="H104" t="str">
        <v>컴투스홀딩스</v>
      </c>
      <c r="I104" t="str">
        <v>12월 컴투스-컴투스홀딩스 업무위탁계약 용역비 예상인식</v>
      </c>
      <c r="J104" t="str">
        <v>← 라이브게임 용역료, 업무위탁용역비</v>
      </c>
    </row>
    <row r="105" spans="1:10" x14ac:dyDescent="0.3">
      <c r="A105">
        <v>4</v>
      </c>
      <c r="B105" t="str">
        <v>Out of the park Developments GmbH &amp; Co.KG(OOTP)</v>
      </c>
      <c r="C105" s="51">
        <v>46023</v>
      </c>
      <c r="D105" t="str">
        <v>1월</v>
      </c>
      <c r="E105" s="52">
        <v>-827497</v>
      </c>
      <c r="F105" t="str">
        <v>용역수익</v>
      </c>
      <c r="G105" t="str">
        <v>경영관리수익</v>
      </c>
      <c r="H105" t="str">
        <v>OOTP(용역)</v>
      </c>
      <c r="I105" t="str">
        <v>[매출/용역] OOTP 지원 용역매출 25년 10월 예상인식</v>
      </c>
      <c r="J105" t="str">
        <v>← OOTP 지원 용역매출</v>
      </c>
    </row>
    <row r="106" spans="1:10" x14ac:dyDescent="0.3">
      <c r="A106">
        <v>5</v>
      </c>
      <c r="B106" t="str">
        <v>Out of the park Developments GmbH &amp; Co.KG(OOTP)</v>
      </c>
      <c r="C106" s="51">
        <v>46023</v>
      </c>
      <c r="D106" t="str">
        <v>1월</v>
      </c>
      <c r="E106" s="52">
        <v>-827497</v>
      </c>
      <c r="F106" t="str">
        <v>용역수익</v>
      </c>
      <c r="G106" t="str">
        <v>경영관리수익</v>
      </c>
      <c r="H106" t="str">
        <v>OOTP(용역)</v>
      </c>
      <c r="I106" t="str">
        <v>[매출/용역] OOTP 지원 용역매출 25년 11월 예상인식</v>
      </c>
      <c r="J106" t="str">
        <v>← OOTP 지원 용역매출</v>
      </c>
    </row>
    <row r="107" spans="1:10" x14ac:dyDescent="0.3">
      <c r="A107">
        <v>6</v>
      </c>
      <c r="B107" t="str">
        <v>Out of the park Developments GmbH &amp; Co.KG(OOTP)</v>
      </c>
      <c r="C107" s="51">
        <v>46023</v>
      </c>
      <c r="D107" t="str">
        <v>1월</v>
      </c>
      <c r="E107" s="52">
        <v>-827497</v>
      </c>
      <c r="F107" t="str">
        <v>용역수익</v>
      </c>
      <c r="G107" t="str">
        <v>경영관리수익</v>
      </c>
      <c r="H107" t="str">
        <v>OOTP(용역)</v>
      </c>
      <c r="I107" t="str">
        <v>[매출/용역] OOTP 지원 용역매출 25년 12월 예상인식</v>
      </c>
      <c r="J107" t="str">
        <v>← OOTP 지원 용역매출</v>
      </c>
    </row>
    <row r="108" spans="1:10" x14ac:dyDescent="0.3">
      <c r="A108">
        <v>7</v>
      </c>
      <c r="B108" t="str">
        <v>주식회사 컴투스홀딩스</v>
      </c>
      <c r="C108" s="51">
        <v>46047</v>
      </c>
      <c r="D108" t="str">
        <v>1월</v>
      </c>
      <c r="E108" s="52">
        <v>653340215</v>
      </c>
      <c r="F108" t="str">
        <v>용역수익</v>
      </c>
      <c r="G108" t="str">
        <v>경영관리수익</v>
      </c>
      <c r="H108" t="str">
        <v>컴투스홀딩스</v>
      </c>
      <c r="I108" t="str">
        <v>25년 4분기/매출_용역/컴투스홀딩스 용역 매출 (2025년 4분기)</v>
      </c>
      <c r="J108" t="str">
        <v>← 라이브게임 용역료, 업무위탁용역비</v>
      </c>
    </row>
    <row r="109" spans="1:10" x14ac:dyDescent="0.3">
      <c r="A109">
        <v>8</v>
      </c>
      <c r="B109" t="str">
        <v>주식회사 컴투스플랫폼</v>
      </c>
      <c r="C109" s="51">
        <v>46047</v>
      </c>
      <c r="D109" t="str">
        <v>1월</v>
      </c>
      <c r="E109" s="52">
        <v>4583869</v>
      </c>
      <c r="F109" t="str">
        <v>용역수익</v>
      </c>
      <c r="G109" t="str">
        <v>경영관리수익</v>
      </c>
      <c r="H109" t="str">
        <v>컴투스플랫폼</v>
      </c>
      <c r="I109" t="str">
        <v>25년 4분기/매출_용역/컴투스플랫폼 용역 매출 (2025년 4분기)</v>
      </c>
      <c r="J109">
        <v>0</v>
      </c>
    </row>
    <row r="110" spans="1:10" x14ac:dyDescent="0.3">
      <c r="A110">
        <v>9</v>
      </c>
      <c r="B110" t="str">
        <v>Out of the park Developments GmbH &amp; Co.KG(OOTP)</v>
      </c>
      <c r="C110" s="51">
        <v>46047</v>
      </c>
      <c r="D110" t="str">
        <v>1월</v>
      </c>
      <c r="E110" s="52">
        <v>7163155</v>
      </c>
      <c r="F110" t="str">
        <v>용역수익</v>
      </c>
      <c r="G110" t="str">
        <v>경영관리수익</v>
      </c>
      <c r="H110" t="str">
        <v>OOTP(용역)</v>
      </c>
      <c r="I110" t="str">
        <v>2025년 4분기/매출_용역정산/OOTP 지원 용역 매출 - 2025.4분기</v>
      </c>
      <c r="J110" t="str">
        <v>← OOTP 지원 용역매출</v>
      </c>
    </row>
    <row r="111" spans="1:10" x14ac:dyDescent="0.3">
      <c r="A111">
        <v>10</v>
      </c>
      <c r="B111" t="str">
        <v>Com2uS USA Inc</v>
      </c>
      <c r="C111" s="51">
        <v>46047</v>
      </c>
      <c r="D111" t="str">
        <v>1월</v>
      </c>
      <c r="E111" s="52">
        <v>85428203</v>
      </c>
      <c r="F111" t="str">
        <v>용역수익</v>
      </c>
      <c r="G111" t="str">
        <v>경영관리수익</v>
      </c>
      <c r="H111" t="str">
        <v>Com2uS USA</v>
      </c>
      <c r="I111" t="str">
        <v>4분기/매출_용역정산/MLB PI 용역 매출(2025년 4분기)</v>
      </c>
      <c r="J111">
        <v>0</v>
      </c>
    </row>
    <row r="112" spans="1:10" x14ac:dyDescent="0.3">
      <c r="A112">
        <v>11</v>
      </c>
      <c r="B112" t="str">
        <v>주식회사 카탈리스터</v>
      </c>
      <c r="C112" s="51">
        <v>46053</v>
      </c>
      <c r="D112" t="str">
        <v>1월</v>
      </c>
      <c r="E112" s="52">
        <v>56102</v>
      </c>
      <c r="F112" t="str">
        <v>용역수익</v>
      </c>
      <c r="G112" t="str">
        <v>경영관리수익</v>
      </c>
      <c r="H112" t="str">
        <v>카탈리스터</v>
      </c>
      <c r="I112" t="str">
        <v>2026년 1월 카탈리스터</v>
      </c>
      <c r="J112">
        <v>0</v>
      </c>
    </row>
    <row r="113" spans="1:10" x14ac:dyDescent="0.3">
      <c r="A113">
        <v>12</v>
      </c>
      <c r="B113" t="str">
        <v>주식회사 데이세븐</v>
      </c>
      <c r="C113" s="51">
        <v>46053</v>
      </c>
      <c r="D113" t="str">
        <v>1월</v>
      </c>
      <c r="E113" s="52">
        <v>500000</v>
      </c>
      <c r="F113" t="str">
        <v>용역수익</v>
      </c>
      <c r="G113" t="str">
        <v>경영관리수익</v>
      </c>
      <c r="H113" t="str">
        <v>데이세븐</v>
      </c>
      <c r="I113" t="str">
        <v>1월 / 용역수익 / 데이세븐 회계 용역 제공 용역수익</v>
      </c>
      <c r="J113" t="str">
        <v>← 용역 및 전대차 임대료</v>
      </c>
    </row>
    <row r="114" spans="1:10" x14ac:dyDescent="0.3">
      <c r="A114">
        <v>13</v>
      </c>
      <c r="B114" t="str">
        <v>주식회사 데이세븐</v>
      </c>
      <c r="C114" s="51">
        <v>46053</v>
      </c>
      <c r="D114" t="str">
        <v>1월</v>
      </c>
      <c r="E114" s="52">
        <v>24560025</v>
      </c>
      <c r="F114" t="str">
        <v>용역수익</v>
      </c>
      <c r="G114" t="str">
        <v>경영관리수익</v>
      </c>
      <c r="H114" t="str">
        <v>데이세븐</v>
      </c>
      <c r="I114" t="str">
        <v>1월/ 용역수익 / 데이세븐 사업 및 개발부문 용역수익</v>
      </c>
      <c r="J114" t="str">
        <v>← 용역 및 전대차 임대료</v>
      </c>
    </row>
    <row r="115" spans="1:10" x14ac:dyDescent="0.3">
      <c r="A115">
        <v>14</v>
      </c>
      <c r="B115" t="str">
        <v>주식회사 컴투스홀딩스</v>
      </c>
      <c r="C115" s="51">
        <v>46053</v>
      </c>
      <c r="D115" t="str">
        <v>1월</v>
      </c>
      <c r="E115" s="52">
        <v>217780072</v>
      </c>
      <c r="F115" t="str">
        <v>용역수익</v>
      </c>
      <c r="G115" t="str">
        <v>경영관리수익</v>
      </c>
      <c r="H115" t="str">
        <v>컴투스홀딩스</v>
      </c>
      <c r="I115" t="str">
        <v>1월 컴투스홀딩스 업무위탁 용역 매출 예상인식</v>
      </c>
      <c r="J115" t="str">
        <v>← 라이브게임 용역료, 업무위탁용역비</v>
      </c>
    </row>
    <row r="116" spans="1:10" x14ac:dyDescent="0.3">
      <c r="A116">
        <v>15</v>
      </c>
      <c r="B116" t="str">
        <v>주식회사 컴투스플랫폼</v>
      </c>
      <c r="C116" s="51">
        <v>46053</v>
      </c>
      <c r="D116" t="str">
        <v>1월</v>
      </c>
      <c r="E116" s="52">
        <v>1527956</v>
      </c>
      <c r="F116" t="str">
        <v>용역수익</v>
      </c>
      <c r="G116" t="str">
        <v>경영관리수익</v>
      </c>
      <c r="H116" t="str">
        <v>컴투스플랫폼</v>
      </c>
      <c r="I116" t="str">
        <v>1월/매출_용역/컴투스플랫폼 용역 매출 예상인식</v>
      </c>
      <c r="J116">
        <v>0</v>
      </c>
    </row>
    <row r="117" spans="1:10" x14ac:dyDescent="0.3">
      <c r="A117">
        <v>16</v>
      </c>
      <c r="B117" t="str">
        <v>Out of the park Developments GmbH &amp; Co.KG(OOTP)</v>
      </c>
      <c r="C117" s="51">
        <v>46053</v>
      </c>
      <c r="D117" t="str">
        <v>1월</v>
      </c>
      <c r="E117" s="52">
        <v>2387716</v>
      </c>
      <c r="F117" t="str">
        <v>용역수익</v>
      </c>
      <c r="G117" t="str">
        <v>경영관리수익</v>
      </c>
      <c r="H117" t="str">
        <v>OOTP(용역)</v>
      </c>
      <c r="I117" t="str">
        <v>[매출/용역] OOTP 지원 용역매출 26년 1월 예상인식</v>
      </c>
      <c r="J117" t="str">
        <v>← OOTP 지원 용역매출</v>
      </c>
    </row>
    <row r="118" spans="1:10" x14ac:dyDescent="0.3">
      <c r="A118">
        <v>17</v>
      </c>
      <c r="B118" t="str">
        <v>주식회사 컴투스플랫폼</v>
      </c>
      <c r="C118" s="51">
        <v>46053</v>
      </c>
      <c r="D118" t="str">
        <v>1월</v>
      </c>
      <c r="E118" s="52">
        <v>12330552</v>
      </c>
      <c r="F118" t="str">
        <v>용역수익</v>
      </c>
      <c r="G118" t="str">
        <v>경영관리수익</v>
      </c>
      <c r="H118" t="str">
        <v>컴투스플랫폼</v>
      </c>
      <c r="I118" t="str">
        <v>1월 그룹사 인사업무 용역료</v>
      </c>
      <c r="J118">
        <v>0</v>
      </c>
    </row>
    <row r="119" spans="1:10" x14ac:dyDescent="0.3">
      <c r="A119">
        <v>18</v>
      </c>
      <c r="B119" t="str">
        <v>주식회사 컴투스홀딩스</v>
      </c>
      <c r="C119" s="51">
        <v>46053</v>
      </c>
      <c r="D119" t="str">
        <v>1월</v>
      </c>
      <c r="E119" s="52">
        <v>3368942</v>
      </c>
      <c r="F119" t="str">
        <v>용역수익</v>
      </c>
      <c r="G119" t="str">
        <v>경영관리수익</v>
      </c>
      <c r="H119" t="str">
        <v>컴투스홀딩스</v>
      </c>
      <c r="I119" t="str">
        <v>1월 컴투스홀딩스 라이브게임 용역료</v>
      </c>
      <c r="J119" t="str">
        <v>← 라이브게임 용역료, 업무위탁용역비</v>
      </c>
    </row>
    <row r="120" spans="1:10" x14ac:dyDescent="0.3">
      <c r="A120">
        <v>19</v>
      </c>
      <c r="B120" t="str">
        <v>MetaMagnet Limited</v>
      </c>
      <c r="C120" s="51">
        <v>46053</v>
      </c>
      <c r="D120" t="str">
        <v>1월</v>
      </c>
      <c r="E120" s="52">
        <v>26853189</v>
      </c>
      <c r="F120" t="str">
        <v>용역수익</v>
      </c>
      <c r="G120" t="str">
        <v>경영관리수익</v>
      </c>
      <c r="H120" t="str">
        <v>MetaMagnet</v>
      </c>
      <c r="I120" t="str">
        <v>1월 XPLA 컨텐츠공급계약 1,843,666.67개 @14.5651</v>
      </c>
      <c r="J120" t="str">
        <v>← 블록체인 관련 업무위탁수익</v>
      </c>
    </row>
    <row r="121" spans="1:10" x14ac:dyDescent="0.3">
      <c r="A121">
        <v>20</v>
      </c>
      <c r="B121" t="str">
        <v>MetaMagnet Limited</v>
      </c>
      <c r="C121" s="51">
        <v>46053</v>
      </c>
      <c r="D121" t="str">
        <v>1월</v>
      </c>
      <c r="E121" s="52">
        <v>1086738</v>
      </c>
      <c r="F121" t="str">
        <v>용역수익</v>
      </c>
      <c r="G121" t="str">
        <v>경영관리수익</v>
      </c>
      <c r="H121" t="str">
        <v>MetaMagnet</v>
      </c>
      <c r="I121" t="str">
        <v>1월 XPLA Validator Delegation Reward 수익인식</v>
      </c>
      <c r="J121" t="str">
        <v>← 블록체인 관련 업무위탁수익</v>
      </c>
    </row>
    <row r="122" spans="1:10" x14ac:dyDescent="0.3">
      <c r="A122">
        <v>21</v>
      </c>
      <c r="B122" t="str">
        <v>MetaMagnet Limited</v>
      </c>
      <c r="C122" s="51">
        <v>46053</v>
      </c>
      <c r="D122" t="str">
        <v>1월</v>
      </c>
      <c r="E122" s="52">
        <v>2533864</v>
      </c>
      <c r="F122" t="str">
        <v>용역수익</v>
      </c>
      <c r="G122" t="str">
        <v>경영관리수익</v>
      </c>
      <c r="H122" t="str">
        <v>MetaMagnet</v>
      </c>
      <c r="I122" t="str">
        <v>1월 XPLA Validator Delegation Commission 수익인식</v>
      </c>
      <c r="J122" t="str">
        <v>← 블록체인 관련 업무위탁수익</v>
      </c>
    </row>
    <row r="123" spans="1:10" x14ac:dyDescent="0.3">
      <c r="A123">
        <v>22</v>
      </c>
      <c r="B123" t="str">
        <v>MetaMagnet Limited</v>
      </c>
      <c r="C123" s="51">
        <v>46053</v>
      </c>
      <c r="D123" t="str">
        <v>1월</v>
      </c>
      <c r="E123" s="52">
        <v>20767</v>
      </c>
      <c r="F123" t="str">
        <v>용역수익</v>
      </c>
      <c r="G123" t="str">
        <v>경영관리수익</v>
      </c>
      <c r="H123" t="str">
        <v>MetaMagnet</v>
      </c>
      <c r="I123" t="str">
        <v>1월 XPLA CONVERT 수수료 수량 754.93개 @27.83</v>
      </c>
      <c r="J123" t="str">
        <v>← 블록체인 관련 업무위탁수익</v>
      </c>
    </row>
    <row r="124" spans="1:10" x14ac:dyDescent="0.3">
      <c r="A124">
        <v>23</v>
      </c>
      <c r="B124" t="str">
        <v>MetaMagnet Limited</v>
      </c>
      <c r="C124" s="51">
        <v>46053</v>
      </c>
      <c r="D124" t="str">
        <v>1월</v>
      </c>
      <c r="E124" s="52">
        <v>11037</v>
      </c>
      <c r="F124" t="str">
        <v>용역수익</v>
      </c>
      <c r="G124" t="str">
        <v>경영관리수익</v>
      </c>
      <c r="H124" t="str">
        <v>MetaMagnet</v>
      </c>
      <c r="I124" t="str">
        <v>1월 CTXT CONVERT 수수료 수량 552.67개 @20.34</v>
      </c>
      <c r="J124" t="str">
        <v>← 블록체인 관련 업무위탁수익</v>
      </c>
    </row>
    <row r="125" spans="1:10" x14ac:dyDescent="0.3">
      <c r="A125">
        <v>24</v>
      </c>
      <c r="B125" t="str">
        <v>MetaMagnet Limited</v>
      </c>
      <c r="C125" s="51">
        <v>46053</v>
      </c>
      <c r="D125" t="str">
        <v>1월</v>
      </c>
      <c r="E125" s="52">
        <v>15483289</v>
      </c>
      <c r="F125" t="str">
        <v>용역수익</v>
      </c>
      <c r="G125" t="str">
        <v>경영관리수익</v>
      </c>
      <c r="H125" t="str">
        <v>MetaMagnet</v>
      </c>
      <c r="I125" t="str">
        <v>1월 game token deploy 수익 인식 - 낚시의신: 크루(CTXT)</v>
      </c>
      <c r="J125" t="str">
        <v>← 블록체인 관련 업무위탁수익</v>
      </c>
    </row>
    <row r="126" spans="1:10" x14ac:dyDescent="0.3">
      <c r="A126">
        <v>25</v>
      </c>
      <c r="B126" t="str">
        <v>OASYS PTE. LTD.</v>
      </c>
      <c r="C126" s="51">
        <v>46053</v>
      </c>
      <c r="D126" t="str">
        <v>1월</v>
      </c>
      <c r="E126" s="52">
        <v>48550328</v>
      </c>
      <c r="F126" t="str">
        <v>용역수익</v>
      </c>
      <c r="G126" t="str">
        <v>경영관리수익</v>
      </c>
      <c r="H126" t="str">
        <v>OASYS</v>
      </c>
      <c r="I126" t="str">
        <v>1월 OAS Game Grant 수익 인식 669,929.40개 @72.4708</v>
      </c>
      <c r="J126" t="str">
        <v>← 블록체인 관련 업무위탁수익</v>
      </c>
    </row>
    <row r="127" spans="1:10" x14ac:dyDescent="0.3">
      <c r="A127">
        <v>29</v>
      </c>
      <c r="B127" t="str">
        <v>주식회사 컴투스플랫폼</v>
      </c>
      <c r="C127" s="51">
        <v>46054</v>
      </c>
      <c r="D127" t="str">
        <v>2월</v>
      </c>
      <c r="E127" s="52">
        <v>-4583869</v>
      </c>
      <c r="F127" t="str">
        <v>용역수익</v>
      </c>
      <c r="G127" t="str">
        <v>경영관리수익</v>
      </c>
      <c r="H127" t="str">
        <v>컴투스플랫폼</v>
      </c>
      <c r="I127" t="str">
        <v>4Q/매출_용역/컴투스플랫폼 용역 매출 취소</v>
      </c>
      <c r="J127">
        <v>0</v>
      </c>
    </row>
    <row r="128" spans="1:10" x14ac:dyDescent="0.3">
      <c r="A128">
        <v>30</v>
      </c>
      <c r="B128" t="str">
        <v>주식회사 카탈리스터</v>
      </c>
      <c r="C128" s="51">
        <v>46081</v>
      </c>
      <c r="D128" t="str">
        <v>2월</v>
      </c>
      <c r="E128" s="52">
        <v>38446</v>
      </c>
      <c r="F128" t="str">
        <v>용역수익</v>
      </c>
      <c r="G128" t="str">
        <v>경영관리수익</v>
      </c>
      <c r="H128" t="str">
        <v>카탈리스터</v>
      </c>
      <c r="I128" t="str">
        <v>2026년 2월 카탈리스터 인사 용역 수익</v>
      </c>
      <c r="J128">
        <v>0</v>
      </c>
    </row>
    <row r="129" spans="1:10" x14ac:dyDescent="0.3">
      <c r="A129">
        <v>31</v>
      </c>
      <c r="B129" t="str">
        <v>주식회사 데이세븐</v>
      </c>
      <c r="C129" s="51">
        <v>46081</v>
      </c>
      <c r="D129" t="str">
        <v>2월</v>
      </c>
      <c r="E129" s="52">
        <v>500000</v>
      </c>
      <c r="F129" t="str">
        <v>용역수익</v>
      </c>
      <c r="G129" t="str">
        <v>경영관리수익</v>
      </c>
      <c r="H129" t="str">
        <v>데이세븐</v>
      </c>
      <c r="I129" t="str">
        <v>[용역매출] 2월 데이세븐 회계 등 용역수익</v>
      </c>
      <c r="J129" t="str">
        <v>← 용역 및 전대차 임대료</v>
      </c>
    </row>
    <row r="130" spans="1:10" x14ac:dyDescent="0.3">
      <c r="A130">
        <v>32</v>
      </c>
      <c r="B130" t="str">
        <v>주식회사 컴투스홀딩스</v>
      </c>
      <c r="C130" s="51">
        <v>46081</v>
      </c>
      <c r="D130" t="str">
        <v>2월</v>
      </c>
      <c r="E130" s="52">
        <v>217780072</v>
      </c>
      <c r="F130" t="str">
        <v>용역수익</v>
      </c>
      <c r="G130" t="str">
        <v>경영관리수익</v>
      </c>
      <c r="H130" t="str">
        <v>컴투스홀딩스</v>
      </c>
      <c r="I130" t="str">
        <v>[매출 / 가인식] 2월 컴투스홀딩스 업무위탁용역</v>
      </c>
      <c r="J130" t="str">
        <v>← 라이브게임 용역료, 업무위탁용역비</v>
      </c>
    </row>
    <row r="131" spans="1:10" x14ac:dyDescent="0.3">
      <c r="A131">
        <v>33</v>
      </c>
      <c r="B131" t="str">
        <v>주식회사 컴투스플랫폼</v>
      </c>
      <c r="C131" s="51">
        <v>46081</v>
      </c>
      <c r="D131" t="str">
        <v>2월</v>
      </c>
      <c r="E131" s="52">
        <v>1527956</v>
      </c>
      <c r="F131" t="str">
        <v>용역수익</v>
      </c>
      <c r="G131" t="str">
        <v>경영관리수익</v>
      </c>
      <c r="H131" t="str">
        <v>컴투스플랫폼</v>
      </c>
      <c r="I131" t="str">
        <v>[매출 / 가인식] 2월 컴투스플랫폼 용역위탁</v>
      </c>
      <c r="J131">
        <v>0</v>
      </c>
    </row>
    <row r="132" spans="1:10" x14ac:dyDescent="0.3">
      <c r="A132">
        <v>34</v>
      </c>
      <c r="B132" t="str">
        <v>Out of the park Developments GmbH &amp; Co.KG(OOTP)</v>
      </c>
      <c r="C132" s="51">
        <v>46081</v>
      </c>
      <c r="D132" t="str">
        <v>2월</v>
      </c>
      <c r="E132" s="52">
        <v>2387716</v>
      </c>
      <c r="F132" t="str">
        <v>용역수익</v>
      </c>
      <c r="G132" t="str">
        <v>경영관리수익</v>
      </c>
      <c r="H132" t="str">
        <v>OOTP(용역)</v>
      </c>
      <c r="I132" t="str">
        <v>[매출 / 가인식] 2월 OOTP 지원 용역매출</v>
      </c>
      <c r="J132" t="str">
        <v>← OOTP 지원 용역매출</v>
      </c>
    </row>
    <row r="133" spans="1:10" x14ac:dyDescent="0.3">
      <c r="A133">
        <v>35</v>
      </c>
      <c r="B133" t="str">
        <v>Com2uS USA Inc</v>
      </c>
      <c r="C133" s="51">
        <v>46081</v>
      </c>
      <c r="D133" t="str">
        <v>2월</v>
      </c>
      <c r="E133" s="52">
        <v>28476081</v>
      </c>
      <c r="F133" t="str">
        <v>용역수익</v>
      </c>
      <c r="G133" t="str">
        <v>경영관리수익</v>
      </c>
      <c r="H133" t="str">
        <v>Com2uS USA</v>
      </c>
      <c r="I133" t="str">
        <v>[매출 / 가인식] 1월 MLB PI 용역 매출</v>
      </c>
      <c r="J133">
        <v>0</v>
      </c>
    </row>
    <row r="134" spans="1:10" x14ac:dyDescent="0.3">
      <c r="A134">
        <v>36</v>
      </c>
      <c r="B134" t="str">
        <v>Com2uS USA Inc</v>
      </c>
      <c r="C134" s="51">
        <v>46081</v>
      </c>
      <c r="D134" t="str">
        <v>2월</v>
      </c>
      <c r="E134" s="52">
        <v>28476081</v>
      </c>
      <c r="F134" t="str">
        <v>용역수익</v>
      </c>
      <c r="G134" t="str">
        <v>경영관리수익</v>
      </c>
      <c r="H134" t="str">
        <v>Com2uS USA</v>
      </c>
      <c r="I134" t="str">
        <v>[매출 / 가인식] 2월 MLB PI 용역 매출</v>
      </c>
      <c r="J134">
        <v>0</v>
      </c>
    </row>
    <row r="135" spans="1:10" x14ac:dyDescent="0.3">
      <c r="A135">
        <v>37</v>
      </c>
      <c r="B135" t="str">
        <v>Com2uS USA Inc</v>
      </c>
      <c r="C135" s="51">
        <v>46081</v>
      </c>
      <c r="D135" t="str">
        <v>2월</v>
      </c>
      <c r="E135" s="52">
        <v>4640756</v>
      </c>
      <c r="F135" t="str">
        <v>용역수익</v>
      </c>
      <c r="G135" t="str">
        <v>경영관리수익</v>
      </c>
      <c r="H135" t="str">
        <v>Com2uS USA</v>
      </c>
      <c r="I135" t="str">
        <v>[매출 / 가인식] 1월 미국법인 가상자산 용역위탁료</v>
      </c>
      <c r="J135">
        <v>0</v>
      </c>
    </row>
    <row r="136" spans="1:10" x14ac:dyDescent="0.3">
      <c r="A136">
        <v>38</v>
      </c>
      <c r="B136" t="str">
        <v>Com2uS USA Inc</v>
      </c>
      <c r="C136" s="51">
        <v>46081</v>
      </c>
      <c r="D136" t="str">
        <v>2월</v>
      </c>
      <c r="E136" s="52">
        <v>4640756</v>
      </c>
      <c r="F136" t="str">
        <v>용역수익</v>
      </c>
      <c r="G136" t="str">
        <v>경영관리수익</v>
      </c>
      <c r="H136" t="str">
        <v>Com2uS USA</v>
      </c>
      <c r="I136" t="str">
        <v>[매출 / 가인식] 2월 미국법인 가상자산 용역위탁료</v>
      </c>
      <c r="J136">
        <v>0</v>
      </c>
    </row>
    <row r="137" spans="1:10" x14ac:dyDescent="0.3">
      <c r="A137">
        <v>39</v>
      </c>
      <c r="B137" t="str">
        <v>주식회사 컴투스플랫폼</v>
      </c>
      <c r="C137" s="51">
        <v>46081</v>
      </c>
      <c r="D137" t="str">
        <v>2월</v>
      </c>
      <c r="E137" s="52">
        <v>12298184</v>
      </c>
      <c r="F137" t="str">
        <v>용역수익</v>
      </c>
      <c r="G137" t="str">
        <v>경영관리수익</v>
      </c>
      <c r="H137" t="str">
        <v>컴투스플랫폼</v>
      </c>
      <c r="I137" t="str">
        <v>2월 그룹사 인사업무 용역료</v>
      </c>
      <c r="J137">
        <v>0</v>
      </c>
    </row>
    <row r="138" spans="1:10" x14ac:dyDescent="0.3">
      <c r="A138">
        <v>40</v>
      </c>
      <c r="B138" t="str">
        <v>주식회사 컴투스홀딩스</v>
      </c>
      <c r="C138" s="51">
        <v>46081</v>
      </c>
      <c r="D138" t="str">
        <v>2월</v>
      </c>
      <c r="E138" s="52">
        <v>4910044</v>
      </c>
      <c r="F138" t="str">
        <v>용역수익</v>
      </c>
      <c r="G138" t="str">
        <v>경영관리수익</v>
      </c>
      <c r="H138" t="str">
        <v>컴투스홀딩스</v>
      </c>
      <c r="I138" t="str">
        <v>2월 컴투스홀딩스 라이브게임 용역료</v>
      </c>
      <c r="J138" t="str">
        <v>← 라이브게임 용역료, 업무위탁용역비</v>
      </c>
    </row>
    <row r="139" spans="1:10" x14ac:dyDescent="0.3">
      <c r="A139">
        <v>41</v>
      </c>
      <c r="B139" t="str">
        <v>MetaMagnet Limited</v>
      </c>
      <c r="C139" s="51">
        <v>46081</v>
      </c>
      <c r="D139" t="str">
        <v>2월</v>
      </c>
      <c r="E139" s="52">
        <v>26720629</v>
      </c>
      <c r="F139" t="str">
        <v>용역수익</v>
      </c>
      <c r="G139" t="str">
        <v>경영관리수익</v>
      </c>
      <c r="H139" t="str">
        <v>MetaMagnet</v>
      </c>
      <c r="I139" t="str">
        <v>2월 XPLA 컨텐츠공급계약 1,843,666.67개 @14.4932</v>
      </c>
      <c r="J139" t="str">
        <v>← 블록체인 관련 업무위탁수익</v>
      </c>
    </row>
    <row r="140" spans="1:10" x14ac:dyDescent="0.3">
      <c r="A140">
        <v>42</v>
      </c>
      <c r="B140" t="str">
        <v>MetaMagnet Limited</v>
      </c>
      <c r="C140" s="51">
        <v>46081</v>
      </c>
      <c r="D140" t="str">
        <v>2월</v>
      </c>
      <c r="E140" s="52">
        <v>737592</v>
      </c>
      <c r="F140" t="str">
        <v>용역수익</v>
      </c>
      <c r="G140" t="str">
        <v>경영관리수익</v>
      </c>
      <c r="H140" t="str">
        <v>MetaMagnet</v>
      </c>
      <c r="I140" t="str">
        <v>2월 XPLA Validator Delegation Reward 수익인식</v>
      </c>
      <c r="J140" t="str">
        <v>← 블록체인 관련 업무위탁수익</v>
      </c>
    </row>
    <row r="141" spans="1:10" x14ac:dyDescent="0.3">
      <c r="A141">
        <v>43</v>
      </c>
      <c r="B141" t="str">
        <v>MetaMagnet Limited</v>
      </c>
      <c r="C141" s="51">
        <v>46081</v>
      </c>
      <c r="D141" t="str">
        <v>2월</v>
      </c>
      <c r="E141" s="52">
        <v>1943809</v>
      </c>
      <c r="F141" t="str">
        <v>용역수익</v>
      </c>
      <c r="G141" t="str">
        <v>경영관리수익</v>
      </c>
      <c r="H141" t="str">
        <v>MetaMagnet</v>
      </c>
      <c r="I141" t="str">
        <v>2월 XPLA Validator Delegation Commission 수익인식</v>
      </c>
      <c r="J141" t="str">
        <v>← 블록체인 관련 업무위탁수익</v>
      </c>
    </row>
    <row r="142" spans="1:10" x14ac:dyDescent="0.3">
      <c r="A142">
        <v>44</v>
      </c>
      <c r="B142" t="str">
        <v>MetaMagnet Limited</v>
      </c>
      <c r="C142" s="51">
        <v>46081</v>
      </c>
      <c r="D142" t="str">
        <v>2월</v>
      </c>
      <c r="E142" s="52">
        <v>16937</v>
      </c>
      <c r="F142" t="str">
        <v>용역수익</v>
      </c>
      <c r="G142" t="str">
        <v>경영관리수익</v>
      </c>
      <c r="H142" t="str">
        <v>MetaMagnet</v>
      </c>
      <c r="I142" t="str">
        <v>2월 XPLA CONVERT 수수료 수량 836.34개 @20.55</v>
      </c>
      <c r="J142" t="str">
        <v>← 블록체인 관련 업무위탁수익</v>
      </c>
    </row>
    <row r="143" spans="1:10" x14ac:dyDescent="0.3">
      <c r="A143">
        <v>45</v>
      </c>
      <c r="B143" t="str">
        <v>MetaMagnet Limited</v>
      </c>
      <c r="C143" s="51">
        <v>46081</v>
      </c>
      <c r="D143" t="str">
        <v>2월</v>
      </c>
      <c r="E143" s="52">
        <v>6534</v>
      </c>
      <c r="F143" t="str">
        <v>용역수익</v>
      </c>
      <c r="G143" t="str">
        <v>경영관리수익</v>
      </c>
      <c r="H143" t="str">
        <v>MetaMagnet</v>
      </c>
      <c r="I143" t="str">
        <v>2월 CTXT CONVERT 수수료 수량 552.67개 @21.01</v>
      </c>
      <c r="J143" t="str">
        <v>← 블록체인 관련 업무위탁수익</v>
      </c>
    </row>
    <row r="144" spans="1:10" x14ac:dyDescent="0.3">
      <c r="A144">
        <v>46</v>
      </c>
      <c r="B144" t="str">
        <v>MetaMagnet Limited</v>
      </c>
      <c r="C144" s="51">
        <v>46081</v>
      </c>
      <c r="D144" t="str">
        <v>2월</v>
      </c>
      <c r="E144" s="52">
        <v>15483288</v>
      </c>
      <c r="F144" t="str">
        <v>용역수익</v>
      </c>
      <c r="G144" t="str">
        <v>경영관리수익</v>
      </c>
      <c r="H144" t="str">
        <v>MetaMagnet</v>
      </c>
      <c r="I144" t="str">
        <v>2월 game token deploy 수익 인식 - 낚시의신: 크루(CTXT)</v>
      </c>
      <c r="J144" t="str">
        <v>← 블록체인 관련 업무위탁수익</v>
      </c>
    </row>
    <row r="145" spans="1:10" x14ac:dyDescent="0.3">
      <c r="A145">
        <v>47</v>
      </c>
      <c r="B145" t="str">
        <v>OASYS PTE. LTD.</v>
      </c>
      <c r="C145" s="51">
        <v>46081</v>
      </c>
      <c r="D145" t="str">
        <v>2월</v>
      </c>
      <c r="E145" s="52">
        <v>49977328</v>
      </c>
      <c r="F145" t="str">
        <v>용역수익</v>
      </c>
      <c r="G145" t="str">
        <v>경영관리수익</v>
      </c>
      <c r="H145" t="str">
        <v>OASYS</v>
      </c>
      <c r="I145" t="str">
        <v>2월 OAS Game Grant 수익 인식 669,929.40개 @74.6009</v>
      </c>
      <c r="J145" t="str">
        <v>← 블록체인 관련 업무위탁수익</v>
      </c>
    </row>
    <row r="146" spans="1:10" x14ac:dyDescent="0.3">
      <c r="A146">
        <v>51</v>
      </c>
      <c r="B146" t="str">
        <v>주식회사 카탈리스터</v>
      </c>
      <c r="C146" s="51">
        <v>46112</v>
      </c>
      <c r="D146" t="str">
        <v>3월</v>
      </c>
      <c r="E146" s="52">
        <v>40330</v>
      </c>
      <c r="F146" t="str">
        <v>용역수익</v>
      </c>
      <c r="G146" t="str">
        <v>경영관리수익</v>
      </c>
      <c r="H146" t="str">
        <v>카탈리스터</v>
      </c>
      <c r="I146" t="str">
        <v>2026년 3월 카탈리스터 인사 용역 수익</v>
      </c>
      <c r="J146">
        <v>0</v>
      </c>
    </row>
    <row r="147" spans="1:10" x14ac:dyDescent="0.3">
      <c r="A147">
        <v>52</v>
      </c>
      <c r="B147" t="str">
        <v>주식회사 데이세븐</v>
      </c>
      <c r="C147" s="51">
        <v>46112</v>
      </c>
      <c r="D147" t="str">
        <v>3월</v>
      </c>
      <c r="E147" s="52">
        <v>500000</v>
      </c>
      <c r="F147" t="str">
        <v>용역수익</v>
      </c>
      <c r="G147" t="str">
        <v>경영관리수익</v>
      </c>
      <c r="H147" t="str">
        <v>데이세븐</v>
      </c>
      <c r="I147" t="str">
        <v>[용역매출] 3월 데이세븐 회계 등 용역수익</v>
      </c>
      <c r="J147" t="str">
        <v>← 용역 및 전대차 임대료</v>
      </c>
    </row>
    <row r="148" spans="1:10" x14ac:dyDescent="0.3">
      <c r="A148">
        <v>53</v>
      </c>
      <c r="B148" t="str">
        <v>주식회사 카탈리스터</v>
      </c>
      <c r="C148" s="51">
        <v>46112</v>
      </c>
      <c r="D148" t="str">
        <v>3월</v>
      </c>
      <c r="E148" s="52">
        <v>2700000</v>
      </c>
      <c r="F148" t="str">
        <v>용역수익</v>
      </c>
      <c r="G148" t="str">
        <v>경영관리수익</v>
      </c>
      <c r="H148" t="str">
        <v>카탈리스터</v>
      </c>
      <c r="I148" t="str">
        <v>3월 / 용역수익 / 카탈리스터 회계 등 용역 제공</v>
      </c>
      <c r="J148">
        <v>0</v>
      </c>
    </row>
    <row r="149" spans="1:10" x14ac:dyDescent="0.3">
      <c r="A149">
        <v>54</v>
      </c>
      <c r="B149" t="str">
        <v>주식회사 컴투스홀딩스</v>
      </c>
      <c r="C149" s="51">
        <v>46112</v>
      </c>
      <c r="D149" t="str">
        <v>3월</v>
      </c>
      <c r="E149" s="52">
        <v>217780072</v>
      </c>
      <c r="F149" t="str">
        <v>용역수익</v>
      </c>
      <c r="G149" t="str">
        <v>경영관리수익</v>
      </c>
      <c r="H149" t="str">
        <v>컴투스홀딩스</v>
      </c>
      <c r="I149" t="str">
        <v>[매출 / 가인식] 3월 컴투스홀딩스 업무위탁용역</v>
      </c>
      <c r="J149" t="str">
        <v>← 라이브게임 용역료, 업무위탁용역비</v>
      </c>
    </row>
    <row r="150" spans="1:10" x14ac:dyDescent="0.3">
      <c r="A150">
        <v>55</v>
      </c>
      <c r="B150" t="str">
        <v>주식회사 컴투스플랫폼</v>
      </c>
      <c r="C150" s="51">
        <v>46112</v>
      </c>
      <c r="D150" t="str">
        <v>3월</v>
      </c>
      <c r="E150" s="52">
        <v>1527956</v>
      </c>
      <c r="F150" t="str">
        <v>용역수익</v>
      </c>
      <c r="G150" t="str">
        <v>경영관리수익</v>
      </c>
      <c r="H150" t="str">
        <v>컴투스플랫폼</v>
      </c>
      <c r="I150" t="str">
        <v>[매출 / 가인식] 3월 컴투스플랫폼 용역위탁</v>
      </c>
      <c r="J150">
        <v>0</v>
      </c>
    </row>
    <row r="151" spans="1:10" x14ac:dyDescent="0.3">
      <c r="A151">
        <v>56</v>
      </c>
      <c r="B151" t="str">
        <v>Out of the park Developments GmbH &amp; Co.KG(OOTP)</v>
      </c>
      <c r="C151" s="51">
        <v>46112</v>
      </c>
      <c r="D151" t="str">
        <v>3월</v>
      </c>
      <c r="E151" s="52">
        <v>2387716</v>
      </c>
      <c r="F151" t="str">
        <v>용역수익</v>
      </c>
      <c r="G151" t="str">
        <v>경영관리수익</v>
      </c>
      <c r="H151" t="str">
        <v>OOTP(용역)</v>
      </c>
      <c r="I151" t="str">
        <v>[매출 / 가인식] 3월 OOTP 지원 용역매출</v>
      </c>
      <c r="J151" t="str">
        <v>← OOTP 지원 용역매출</v>
      </c>
    </row>
    <row r="152" spans="1:10" x14ac:dyDescent="0.3">
      <c r="A152">
        <v>57</v>
      </c>
      <c r="B152" t="str">
        <v>Com2uS USA Inc</v>
      </c>
      <c r="C152" s="51">
        <v>46112</v>
      </c>
      <c r="D152" t="str">
        <v>3월</v>
      </c>
      <c r="E152" s="52">
        <v>28476081</v>
      </c>
      <c r="F152" t="str">
        <v>용역수익</v>
      </c>
      <c r="G152" t="str">
        <v>경영관리수익</v>
      </c>
      <c r="H152" t="str">
        <v>Com2uS USA</v>
      </c>
      <c r="I152" t="str">
        <v>[매출 / 가인식] 3월 MLB PI 용역 매출</v>
      </c>
      <c r="J152">
        <v>0</v>
      </c>
    </row>
    <row r="153" spans="1:10" x14ac:dyDescent="0.3">
      <c r="A153">
        <v>58</v>
      </c>
      <c r="B153" t="str">
        <v>Com2uS USA Inc</v>
      </c>
      <c r="C153" s="51">
        <v>46112</v>
      </c>
      <c r="D153" t="str">
        <v>3월</v>
      </c>
      <c r="E153" s="52">
        <v>4640756</v>
      </c>
      <c r="F153" t="str">
        <v>용역수익</v>
      </c>
      <c r="G153" t="str">
        <v>경영관리수익</v>
      </c>
      <c r="H153" t="str">
        <v>Com2uS USA</v>
      </c>
      <c r="I153" t="str">
        <v>[매출 / 가인식] 3월 미국법인 가상자산 용역위탁료</v>
      </c>
      <c r="J153">
        <v>0</v>
      </c>
    </row>
    <row r="154" spans="1:10" x14ac:dyDescent="0.3">
      <c r="A154">
        <v>59</v>
      </c>
      <c r="B154" t="str">
        <v>MetaMagnet Limited</v>
      </c>
      <c r="C154" s="51">
        <v>46112</v>
      </c>
      <c r="D154" t="str">
        <v>3월</v>
      </c>
      <c r="E154" s="52">
        <v>27408686</v>
      </c>
      <c r="F154" t="str">
        <v>용역수익</v>
      </c>
      <c r="G154" t="str">
        <v>경영관리수익</v>
      </c>
      <c r="H154" t="str">
        <v>MetaMagnet</v>
      </c>
      <c r="I154" t="str">
        <v>3월 XPLA 컨텐츠공급계약 1,843,666.67개 @14.8664</v>
      </c>
      <c r="J154" t="str">
        <v>← 블록체인 관련 업무위탁수익</v>
      </c>
    </row>
    <row r="155" spans="1:10" x14ac:dyDescent="0.3">
      <c r="A155">
        <v>60</v>
      </c>
      <c r="B155" t="str">
        <v>MetaMagnet Limited</v>
      </c>
      <c r="C155" s="51">
        <v>46112</v>
      </c>
      <c r="D155" t="str">
        <v>3월</v>
      </c>
      <c r="E155" s="52">
        <v>678710</v>
      </c>
      <c r="F155" t="str">
        <v>용역수익</v>
      </c>
      <c r="G155" t="str">
        <v>경영관리수익</v>
      </c>
      <c r="H155" t="str">
        <v>MetaMagnet</v>
      </c>
      <c r="I155" t="str">
        <v>3월 XPLA Validator Delegation Reward 수익인식</v>
      </c>
      <c r="J155" t="str">
        <v>← 블록체인 관련 업무위탁수익</v>
      </c>
    </row>
    <row r="156" spans="1:10" x14ac:dyDescent="0.3">
      <c r="A156">
        <v>61</v>
      </c>
      <c r="B156" t="str">
        <v>MetaMagnet Limited</v>
      </c>
      <c r="C156" s="51">
        <v>46112</v>
      </c>
      <c r="D156" t="str">
        <v>3월</v>
      </c>
      <c r="E156" s="52">
        <v>2394428</v>
      </c>
      <c r="F156" t="str">
        <v>용역수익</v>
      </c>
      <c r="G156" t="str">
        <v>경영관리수익</v>
      </c>
      <c r="H156" t="str">
        <v>MetaMagnet</v>
      </c>
      <c r="I156" t="str">
        <v>3월 XPLA Validator Delegation Commission 수익인식</v>
      </c>
      <c r="J156" t="str">
        <v>← 블록체인 관련 업무위탁수익</v>
      </c>
    </row>
    <row r="157" spans="1:10" x14ac:dyDescent="0.3">
      <c r="A157">
        <v>62</v>
      </c>
      <c r="B157" t="str">
        <v>MetaMagnet Limited</v>
      </c>
      <c r="C157" s="51">
        <v>46112</v>
      </c>
      <c r="D157" t="str">
        <v>3월</v>
      </c>
      <c r="E157" s="52">
        <v>8025</v>
      </c>
      <c r="F157" t="str">
        <v>용역수익</v>
      </c>
      <c r="G157" t="str">
        <v>경영관리수익</v>
      </c>
      <c r="H157" t="str">
        <v>MetaMagnet</v>
      </c>
      <c r="I157" t="str">
        <v>3월 XPLA CONVERT 수수료 수량 403.64개 @20.20</v>
      </c>
      <c r="J157" t="str">
        <v>← 블록체인 관련 업무위탁수익</v>
      </c>
    </row>
    <row r="158" spans="1:10" x14ac:dyDescent="0.3">
      <c r="A158">
        <v>63</v>
      </c>
      <c r="B158" t="str">
        <v>MetaMagnet Limited</v>
      </c>
      <c r="C158" s="51">
        <v>46112</v>
      </c>
      <c r="D158" t="str">
        <v>3월</v>
      </c>
      <c r="E158" s="52">
        <v>1150</v>
      </c>
      <c r="F158" t="str">
        <v>용역수익</v>
      </c>
      <c r="G158" t="str">
        <v>경영관리수익</v>
      </c>
      <c r="H158" t="str">
        <v>MetaMagnet</v>
      </c>
      <c r="I158" t="str">
        <v>3월 CTXT CONVERT 수수료 수량 80.71개 @14.65</v>
      </c>
      <c r="J158" t="str">
        <v>← 블록체인 관련 업무위탁수익</v>
      </c>
    </row>
    <row r="159" spans="1:10" x14ac:dyDescent="0.3">
      <c r="A159">
        <v>64</v>
      </c>
      <c r="B159" t="str">
        <v>MetaMagnet Limited</v>
      </c>
      <c r="C159" s="51">
        <v>46112</v>
      </c>
      <c r="D159" t="str">
        <v>3월</v>
      </c>
      <c r="E159" s="52">
        <v>15483289</v>
      </c>
      <c r="F159" t="str">
        <v>용역수익</v>
      </c>
      <c r="G159" t="str">
        <v>경영관리수익</v>
      </c>
      <c r="H159" t="str">
        <v>MetaMagnet</v>
      </c>
      <c r="I159" t="str">
        <v>3월 game token deploy 수익 인식 - 낚시의신: 크루(CTXT)</v>
      </c>
      <c r="J159" t="str">
        <v>← 블록체인 관련 업무위탁수익</v>
      </c>
    </row>
    <row r="160" spans="1:10" x14ac:dyDescent="0.3">
      <c r="A160">
        <v>65</v>
      </c>
      <c r="B160" t="str">
        <v>OASYS PTE. LTD.</v>
      </c>
      <c r="C160" s="51">
        <v>46112</v>
      </c>
      <c r="D160" t="str">
        <v>3월</v>
      </c>
      <c r="E160" s="52">
        <v>49554662</v>
      </c>
      <c r="F160" t="str">
        <v>용역수익</v>
      </c>
      <c r="G160" t="str">
        <v>경영관리수익</v>
      </c>
      <c r="H160" t="str">
        <v>OASYS</v>
      </c>
      <c r="I160" t="str">
        <v>3월 OAS Game Grant 수익 인식 669,929.40개 @73.9700</v>
      </c>
      <c r="J160" t="str">
        <v>← 블록체인 관련 업무위탁수익</v>
      </c>
    </row>
    <row r="161" spans="1:10" x14ac:dyDescent="0.3">
      <c r="A161">
        <v>66</v>
      </c>
      <c r="B161" t="str">
        <v>주식회사 컴투스플랫폼</v>
      </c>
      <c r="C161" s="51">
        <v>46112</v>
      </c>
      <c r="D161" t="str">
        <v>3월</v>
      </c>
      <c r="E161" s="52">
        <v>20638139</v>
      </c>
      <c r="F161" t="str">
        <v>용역수익</v>
      </c>
      <c r="G161" t="str">
        <v>경영관리수익</v>
      </c>
      <c r="H161" t="str">
        <v>컴투스플랫폼</v>
      </c>
      <c r="I161" t="str">
        <v>[매출] 3월 그룹사 인사업무 용역료</v>
      </c>
      <c r="J161">
        <v>0</v>
      </c>
    </row>
    <row r="162" spans="1:10" x14ac:dyDescent="0.3">
      <c r="A162">
        <v>67</v>
      </c>
      <c r="B162" t="str">
        <v>주식회사 컴투스홀딩스</v>
      </c>
      <c r="C162" s="51">
        <v>46112</v>
      </c>
      <c r="D162" t="str">
        <v>3월</v>
      </c>
      <c r="E162" s="52">
        <v>5792587</v>
      </c>
      <c r="F162" t="str">
        <v>용역수익</v>
      </c>
      <c r="G162" t="str">
        <v>경영관리수익</v>
      </c>
      <c r="H162" t="str">
        <v>컴투스홀딩스</v>
      </c>
      <c r="I162" t="str">
        <v>[매출] 3월 컴투스홀딩스 라이브게임 용역료</v>
      </c>
      <c r="J162" t="str">
        <v>← 라이브게임 용역료, 업무위탁용역비</v>
      </c>
    </row>
    <row r="163" spans="1:10" x14ac:dyDescent="0.3">
      <c r="A163">
        <v>71</v>
      </c>
      <c r="B163" t="str">
        <v>주식회사 컴투스홀딩스</v>
      </c>
      <c r="C163" s="51">
        <v>46113</v>
      </c>
      <c r="D163" t="str">
        <v>4월</v>
      </c>
      <c r="E163" s="52">
        <v>-217780072</v>
      </c>
      <c r="F163" t="str">
        <v>용역수익</v>
      </c>
      <c r="G163" t="str">
        <v>경영관리수익</v>
      </c>
      <c r="H163" t="str">
        <v>컴투스홀딩스</v>
      </c>
      <c r="I163" t="str">
        <v>1월 컴투스홀딩스 업무위탁 용역 매출 예상인식</v>
      </c>
      <c r="J163" t="str">
        <v>← 라이브게임 용역료, 업무위탁용역비</v>
      </c>
    </row>
    <row r="164" spans="1:10" x14ac:dyDescent="0.3">
      <c r="A164">
        <v>72</v>
      </c>
      <c r="B164" t="str">
        <v>주식회사 컴투스홀딩스</v>
      </c>
      <c r="C164" s="51">
        <v>46113</v>
      </c>
      <c r="D164" t="str">
        <v>4월</v>
      </c>
      <c r="E164" s="52">
        <v>-217780072</v>
      </c>
      <c r="F164" t="str">
        <v>용역수익</v>
      </c>
      <c r="G164" t="str">
        <v>경영관리수익</v>
      </c>
      <c r="H164" t="str">
        <v>컴투스홀딩스</v>
      </c>
      <c r="I164" t="str">
        <v>[매출 / 가인식] 2월 컴투스홀딩스 업무위탁용역</v>
      </c>
      <c r="J164" t="str">
        <v>← 라이브게임 용역료, 업무위탁용역비</v>
      </c>
    </row>
    <row r="165" spans="1:10" x14ac:dyDescent="0.3">
      <c r="A165">
        <v>73</v>
      </c>
      <c r="B165" t="str">
        <v>주식회사 컴투스홀딩스</v>
      </c>
      <c r="C165" s="51">
        <v>46113</v>
      </c>
      <c r="D165" t="str">
        <v>4월</v>
      </c>
      <c r="E165" s="52">
        <v>-217780072</v>
      </c>
      <c r="F165" t="str">
        <v>용역수익</v>
      </c>
      <c r="G165" t="str">
        <v>경영관리수익</v>
      </c>
      <c r="H165" t="str">
        <v>컴투스홀딩스</v>
      </c>
      <c r="I165" t="str">
        <v>[매출 / 가인식] 3월 컴투스홀딩스 업무위탁용역 / 역분개</v>
      </c>
      <c r="J165" t="str">
        <v>← 라이브게임 용역료, 업무위탁용역비</v>
      </c>
    </row>
    <row r="166" spans="1:10" x14ac:dyDescent="0.3">
      <c r="A166">
        <v>74</v>
      </c>
      <c r="B166" t="str">
        <v>주식회사 컴투스로카</v>
      </c>
      <c r="C166" s="51">
        <v>46113</v>
      </c>
      <c r="D166" t="str">
        <v>4월</v>
      </c>
      <c r="E166" s="52">
        <v>500000</v>
      </c>
      <c r="F166" t="str">
        <v>용역수익</v>
      </c>
      <c r="G166" t="str">
        <v>경영관리수익</v>
      </c>
      <c r="H166" t="str">
        <v>컴투스로카</v>
      </c>
      <c r="I166" t="str">
        <v>[매출] 컴투스로카 FY2025 세무조정 용역료</v>
      </c>
      <c r="J166">
        <v>0</v>
      </c>
    </row>
    <row r="167" spans="1:10" x14ac:dyDescent="0.3">
      <c r="A167">
        <v>75</v>
      </c>
      <c r="B167" t="str">
        <v>주식회사 컴투스플랫폼</v>
      </c>
      <c r="C167" s="51">
        <v>46113</v>
      </c>
      <c r="D167" t="str">
        <v>4월</v>
      </c>
      <c r="E167" s="52">
        <v>-1527956</v>
      </c>
      <c r="F167" t="str">
        <v>용역수익</v>
      </c>
      <c r="G167" t="str">
        <v>경영관리수익</v>
      </c>
      <c r="H167" t="str">
        <v>컴투스플랫폼</v>
      </c>
      <c r="I167" t="str">
        <v>1월/매출_용역/컴투스플랫폼 용역 매출 예상인식</v>
      </c>
      <c r="J167">
        <v>0</v>
      </c>
    </row>
    <row r="168" spans="1:10" x14ac:dyDescent="0.3">
      <c r="A168">
        <v>76</v>
      </c>
      <c r="B168" t="str">
        <v>주식회사 컴투스플랫폼</v>
      </c>
      <c r="C168" s="51">
        <v>46113</v>
      </c>
      <c r="D168" t="str">
        <v>4월</v>
      </c>
      <c r="E168" s="52">
        <v>-1527956</v>
      </c>
      <c r="F168" t="str">
        <v>용역수익</v>
      </c>
      <c r="G168" t="str">
        <v>경영관리수익</v>
      </c>
      <c r="H168" t="str">
        <v>컴투스플랫폼</v>
      </c>
      <c r="I168" t="str">
        <v>[매출 / 가인식] 2월 컴투스플랫폼 용역위탁</v>
      </c>
      <c r="J168">
        <v>0</v>
      </c>
    </row>
    <row r="169" spans="1:10" x14ac:dyDescent="0.3">
      <c r="A169">
        <v>77</v>
      </c>
      <c r="B169" t="str">
        <v>주식회사 컴투스플랫폼</v>
      </c>
      <c r="C169" s="51">
        <v>46113</v>
      </c>
      <c r="D169" t="str">
        <v>4월</v>
      </c>
      <c r="E169" s="52">
        <v>-1527956</v>
      </c>
      <c r="F169" t="str">
        <v>용역수익</v>
      </c>
      <c r="G169" t="str">
        <v>경영관리수익</v>
      </c>
      <c r="H169" t="str">
        <v>컴투스플랫폼</v>
      </c>
      <c r="I169" t="str">
        <v>[매출 / 가인식] 3월 컴투스플랫폼 용역위탁 / 역분개</v>
      </c>
      <c r="J169">
        <v>0</v>
      </c>
    </row>
    <row r="170" spans="1:10" x14ac:dyDescent="0.3">
      <c r="A170">
        <v>78</v>
      </c>
      <c r="B170" t="str">
        <v>Out of the park Developments GmbH &amp; Co.KG(OOTP)</v>
      </c>
      <c r="C170" s="51">
        <v>46113</v>
      </c>
      <c r="D170" t="str">
        <v>4월</v>
      </c>
      <c r="E170" s="52">
        <v>-2387716</v>
      </c>
      <c r="F170" t="str">
        <v>용역수익</v>
      </c>
      <c r="G170" t="str">
        <v>경영관리수익</v>
      </c>
      <c r="H170" t="str">
        <v>OOTP(용역)</v>
      </c>
      <c r="I170" t="str">
        <v>[매출/용역] OOTP 지원 용역매출 26년 1월 예상인식</v>
      </c>
      <c r="J170" t="str">
        <v>← OOTP 지원 용역매출</v>
      </c>
    </row>
    <row r="171" spans="1:10" x14ac:dyDescent="0.3">
      <c r="A171">
        <v>79</v>
      </c>
      <c r="B171" t="str">
        <v>Out of the park Developments GmbH &amp; Co.KG(OOTP)</v>
      </c>
      <c r="C171" s="51">
        <v>46113</v>
      </c>
      <c r="D171" t="str">
        <v>4월</v>
      </c>
      <c r="E171" s="52">
        <v>-2387716</v>
      </c>
      <c r="F171" t="str">
        <v>용역수익</v>
      </c>
      <c r="G171" t="str">
        <v>경영관리수익</v>
      </c>
      <c r="H171" t="str">
        <v>OOTP(용역)</v>
      </c>
      <c r="I171" t="str">
        <v>[매출 / 가인식] 2월 OOTP 지원 용역매출</v>
      </c>
      <c r="J171" t="str">
        <v>← OOTP 지원 용역매출</v>
      </c>
    </row>
    <row r="172" spans="1:10" x14ac:dyDescent="0.3">
      <c r="A172">
        <v>80</v>
      </c>
      <c r="B172" t="str">
        <v>Out of the park Developments GmbH &amp; Co.KG(OOTP)</v>
      </c>
      <c r="C172" s="51">
        <v>46113</v>
      </c>
      <c r="D172" t="str">
        <v>4월</v>
      </c>
      <c r="E172" s="52">
        <v>-2387716</v>
      </c>
      <c r="F172" t="str">
        <v>용역수익</v>
      </c>
      <c r="G172" t="str">
        <v>경영관리수익</v>
      </c>
      <c r="H172" t="str">
        <v>OOTP(용역)</v>
      </c>
      <c r="I172" t="str">
        <v>[매출 / 가인식] 3월 OOTP 지원 용역매출 / 역분개</v>
      </c>
      <c r="J172" t="str">
        <v>← OOTP 지원 용역매출</v>
      </c>
    </row>
    <row r="173" spans="1:10" x14ac:dyDescent="0.3">
      <c r="A173">
        <v>81</v>
      </c>
      <c r="B173" t="str">
        <v>Com2uS USA Inc</v>
      </c>
      <c r="C173" s="51">
        <v>46113</v>
      </c>
      <c r="D173" t="str">
        <v>4월</v>
      </c>
      <c r="E173" s="52">
        <v>-28476081</v>
      </c>
      <c r="F173" t="str">
        <v>용역수익</v>
      </c>
      <c r="G173" t="str">
        <v>경영관리수익</v>
      </c>
      <c r="H173" t="str">
        <v>Com2uS USA</v>
      </c>
      <c r="I173" t="str">
        <v>[매출 / 가인식] 1월 MLB PI 용역 매출</v>
      </c>
      <c r="J173">
        <v>0</v>
      </c>
    </row>
    <row r="174" spans="1:10" x14ac:dyDescent="0.3">
      <c r="A174">
        <v>82</v>
      </c>
      <c r="B174" t="str">
        <v>Com2uS USA Inc</v>
      </c>
      <c r="C174" s="51">
        <v>46113</v>
      </c>
      <c r="D174" t="str">
        <v>4월</v>
      </c>
      <c r="E174" s="52">
        <v>-28476081</v>
      </c>
      <c r="F174" t="str">
        <v>용역수익</v>
      </c>
      <c r="G174" t="str">
        <v>경영관리수익</v>
      </c>
      <c r="H174" t="str">
        <v>Com2uS USA</v>
      </c>
      <c r="I174" t="str">
        <v>[매출 / 가인식] 2월 MLB PI 용역 매출</v>
      </c>
      <c r="J174">
        <v>0</v>
      </c>
    </row>
    <row r="175" spans="1:10" x14ac:dyDescent="0.3">
      <c r="A175">
        <v>83</v>
      </c>
      <c r="B175" t="str">
        <v>Com2uS USA Inc</v>
      </c>
      <c r="C175" s="51">
        <v>46113</v>
      </c>
      <c r="D175" t="str">
        <v>4월</v>
      </c>
      <c r="E175" s="52">
        <v>-28476081</v>
      </c>
      <c r="F175" t="str">
        <v>용역수익</v>
      </c>
      <c r="G175" t="str">
        <v>경영관리수익</v>
      </c>
      <c r="H175" t="str">
        <v>Com2uS USA</v>
      </c>
      <c r="I175" t="str">
        <v>[매출 / 가인식] 3월 MLB PI 용역 매출 / 역분개</v>
      </c>
      <c r="J175">
        <v>0</v>
      </c>
    </row>
    <row r="176" spans="1:10" x14ac:dyDescent="0.3">
      <c r="A176">
        <v>84</v>
      </c>
      <c r="B176" t="str">
        <v>Com2uS USA Inc</v>
      </c>
      <c r="C176" s="51">
        <v>46113</v>
      </c>
      <c r="D176" t="str">
        <v>4월</v>
      </c>
      <c r="E176" s="52">
        <v>-4640756</v>
      </c>
      <c r="F176" t="str">
        <v>용역수익</v>
      </c>
      <c r="G176" t="str">
        <v>경영관리수익</v>
      </c>
      <c r="H176" t="str">
        <v>Com2uS USA</v>
      </c>
      <c r="I176" t="str">
        <v>[매출 / 가인식] 1월 미국법인 가상자산 용역위탁료</v>
      </c>
      <c r="J176">
        <v>0</v>
      </c>
    </row>
    <row r="177" spans="1:10" x14ac:dyDescent="0.3">
      <c r="A177">
        <v>85</v>
      </c>
      <c r="B177" t="str">
        <v>Com2uS USA Inc</v>
      </c>
      <c r="C177" s="51">
        <v>46113</v>
      </c>
      <c r="D177" t="str">
        <v>4월</v>
      </c>
      <c r="E177" s="52">
        <v>-4640756</v>
      </c>
      <c r="F177" t="str">
        <v>용역수익</v>
      </c>
      <c r="G177" t="str">
        <v>경영관리수익</v>
      </c>
      <c r="H177" t="str">
        <v>Com2uS USA</v>
      </c>
      <c r="I177" t="str">
        <v>[매출 / 가인식] 2월 미국법인 가상자산 용역위탁료</v>
      </c>
      <c r="J177">
        <v>0</v>
      </c>
    </row>
    <row r="178" spans="1:10" x14ac:dyDescent="0.3">
      <c r="A178">
        <v>86</v>
      </c>
      <c r="B178" t="str">
        <v>Com2uS USA Inc</v>
      </c>
      <c r="C178" s="51">
        <v>46113</v>
      </c>
      <c r="D178" t="str">
        <v>4월</v>
      </c>
      <c r="E178" s="52">
        <v>-4640756</v>
      </c>
      <c r="F178" t="str">
        <v>용역수익</v>
      </c>
      <c r="G178" t="str">
        <v>경영관리수익</v>
      </c>
      <c r="H178" t="str">
        <v>Com2uS USA</v>
      </c>
      <c r="I178" t="str">
        <v>[매출 / 가인식] 3월 미국법인 가상자산 용역위탁료 / 역분개</v>
      </c>
      <c r="J178">
        <v>0</v>
      </c>
    </row>
    <row r="179" spans="1:10" x14ac:dyDescent="0.3">
      <c r="A179">
        <v>87</v>
      </c>
      <c r="B179" t="str">
        <v>주식회사 컴투스홀딩스</v>
      </c>
      <c r="C179" s="51">
        <v>46137</v>
      </c>
      <c r="D179" t="str">
        <v>4월</v>
      </c>
      <c r="E179" s="52">
        <v>626787161</v>
      </c>
      <c r="F179" t="str">
        <v>용역수익</v>
      </c>
      <c r="G179" t="str">
        <v>경영관리수익</v>
      </c>
      <c r="H179" t="str">
        <v>컴투스홀딩스</v>
      </c>
      <c r="I179" t="str">
        <v>26년 1분기/매출_용역/컴투스홀딩스 용역 매출 (2026년 1분기)</v>
      </c>
      <c r="J179" t="str">
        <v>← 라이브게임 용역료, 업무위탁용역비</v>
      </c>
    </row>
    <row r="180" spans="1:10" x14ac:dyDescent="0.3">
      <c r="A180">
        <v>88</v>
      </c>
      <c r="B180" t="str">
        <v>주식회사 컴투스플랫폼</v>
      </c>
      <c r="C180" s="51">
        <v>46137</v>
      </c>
      <c r="D180" t="str">
        <v>4월</v>
      </c>
      <c r="E180" s="52">
        <v>3576487</v>
      </c>
      <c r="F180" t="str">
        <v>용역수익</v>
      </c>
      <c r="G180" t="str">
        <v>경영관리수익</v>
      </c>
      <c r="H180" t="str">
        <v>컴투스플랫폼</v>
      </c>
      <c r="I180" t="str">
        <v>26년 1분기/매출_용역/컴투스플랫폼 용역 매출 (2026년 1분기)</v>
      </c>
      <c r="J180">
        <v>0</v>
      </c>
    </row>
    <row r="181" spans="1:10" x14ac:dyDescent="0.3">
      <c r="A181">
        <v>89</v>
      </c>
      <c r="B181" t="str">
        <v>Out of the park Developments GmbH &amp; Co.KG(OOTP)</v>
      </c>
      <c r="C181" s="51">
        <v>46137</v>
      </c>
      <c r="D181" t="str">
        <v>4월</v>
      </c>
      <c r="E181" s="52">
        <v>4894982</v>
      </c>
      <c r="F181" t="str">
        <v>용역수익</v>
      </c>
      <c r="G181" t="str">
        <v>경영관리수익</v>
      </c>
      <c r="H181" t="str">
        <v>OOTP(용역)</v>
      </c>
      <c r="I181" t="str">
        <v>2026년 1분기/매출_용역정산/OOTP 지원 용역 매출 - 2026.1분기</v>
      </c>
      <c r="J181" t="str">
        <v>← OOTP 지원 용역매출</v>
      </c>
    </row>
    <row r="182" spans="1:10" x14ac:dyDescent="0.3">
      <c r="A182">
        <v>90</v>
      </c>
      <c r="B182" t="str">
        <v>Com2uS USA Inc</v>
      </c>
      <c r="C182" s="51">
        <v>46137</v>
      </c>
      <c r="D182" t="str">
        <v>4월</v>
      </c>
      <c r="E182" s="52">
        <v>103880518</v>
      </c>
      <c r="F182" t="str">
        <v>용역수익</v>
      </c>
      <c r="G182" t="str">
        <v>경영관리수익</v>
      </c>
      <c r="H182" t="str">
        <v>Com2uS USA</v>
      </c>
      <c r="I182" t="str">
        <v>1분기/매출_용역정산/MLB PI 용역 매출(2026년 1분기)</v>
      </c>
      <c r="J182">
        <v>0</v>
      </c>
    </row>
    <row r="183" spans="1:10" x14ac:dyDescent="0.3">
      <c r="A183">
        <v>91</v>
      </c>
      <c r="B183" t="str">
        <v>Com2uS USA Inc</v>
      </c>
      <c r="C183" s="51">
        <v>46137</v>
      </c>
      <c r="D183" t="str">
        <v>4월</v>
      </c>
      <c r="E183" s="52">
        <v>9108709</v>
      </c>
      <c r="F183" t="str">
        <v>용역수익</v>
      </c>
      <c r="G183" t="str">
        <v>경영관리수익</v>
      </c>
      <c r="H183" t="str">
        <v>Com2uS USA</v>
      </c>
      <c r="I183" t="str">
        <v>[매출] 2026년 1분기 미국법인 가상자산 용역위탁료</v>
      </c>
      <c r="J183">
        <v>0</v>
      </c>
    </row>
    <row r="184" spans="1:10" x14ac:dyDescent="0.3">
      <c r="A184">
        <v>92</v>
      </c>
      <c r="B184" t="str">
        <v>주식회사 데이세븐</v>
      </c>
      <c r="C184" s="51">
        <v>46142</v>
      </c>
      <c r="D184" t="str">
        <v>4월</v>
      </c>
      <c r="E184" s="52">
        <v>500000</v>
      </c>
      <c r="F184" t="str">
        <v>용역수익</v>
      </c>
      <c r="G184" t="str">
        <v>경영관리수익</v>
      </c>
      <c r="H184" t="str">
        <v>데이세븐</v>
      </c>
      <c r="I184" t="str">
        <v>[용역매출] 4월 데이세븐 회계 등 용역수익</v>
      </c>
      <c r="J184" t="str">
        <v>← 용역 및 전대차 임대료</v>
      </c>
    </row>
    <row r="185" spans="1:10" x14ac:dyDescent="0.3">
      <c r="A185">
        <v>93</v>
      </c>
      <c r="B185" t="str">
        <v>주식회사 카탈리스터</v>
      </c>
      <c r="C185" s="51">
        <v>46142</v>
      </c>
      <c r="D185" t="str">
        <v>4월</v>
      </c>
      <c r="E185" s="52">
        <v>40543</v>
      </c>
      <c r="F185" t="str">
        <v>용역수익</v>
      </c>
      <c r="G185" t="str">
        <v>경영관리수익</v>
      </c>
      <c r="H185" t="str">
        <v>카탈리스터</v>
      </c>
      <c r="I185" t="str">
        <v>2026년 4월 카탈리스터 인사 용역 수익</v>
      </c>
      <c r="J185">
        <v>0</v>
      </c>
    </row>
    <row r="186" spans="1:10" x14ac:dyDescent="0.3">
      <c r="A186">
        <v>94</v>
      </c>
      <c r="B186" t="str">
        <v>주식회사 컴투스홀딩스</v>
      </c>
      <c r="C186" s="51">
        <v>46142</v>
      </c>
      <c r="D186" t="str">
        <v>4월</v>
      </c>
      <c r="E186" s="52">
        <v>208929054</v>
      </c>
      <c r="F186" t="str">
        <v>용역수익</v>
      </c>
      <c r="G186" t="str">
        <v>경영관리수익</v>
      </c>
      <c r="H186" t="str">
        <v>컴투스홀딩스</v>
      </c>
      <c r="I186" t="str">
        <v>[매출 / 가인식] 4월 컴투스홀딩스 업무위탁용역</v>
      </c>
      <c r="J186" t="str">
        <v>← 라이브게임 용역료, 업무위탁용역비</v>
      </c>
    </row>
    <row r="187" spans="1:10" x14ac:dyDescent="0.3">
      <c r="A187">
        <v>95</v>
      </c>
      <c r="B187" t="str">
        <v>주식회사 컴투스플랫폼</v>
      </c>
      <c r="C187" s="51">
        <v>46142</v>
      </c>
      <c r="D187" t="str">
        <v>4월</v>
      </c>
      <c r="E187" s="52">
        <v>16370879</v>
      </c>
      <c r="F187" t="str">
        <v>용역수익</v>
      </c>
      <c r="G187" t="str">
        <v>경영관리수익</v>
      </c>
      <c r="H187" t="str">
        <v>컴투스플랫폼</v>
      </c>
      <c r="I187" t="str">
        <v>[매출] 4월 그룹사 인사업무 용역료</v>
      </c>
      <c r="J187">
        <v>0</v>
      </c>
    </row>
    <row r="188" spans="1:10" x14ac:dyDescent="0.3">
      <c r="A188">
        <v>96</v>
      </c>
      <c r="B188" t="str">
        <v>주식회사 컴투스홀딩스</v>
      </c>
      <c r="C188" s="51">
        <v>46142</v>
      </c>
      <c r="D188" t="str">
        <v>4월</v>
      </c>
      <c r="E188" s="52">
        <v>19341330</v>
      </c>
      <c r="F188" t="str">
        <v>용역수익</v>
      </c>
      <c r="G188" t="str">
        <v>경영관리수익</v>
      </c>
      <c r="H188" t="str">
        <v>컴투스홀딩스</v>
      </c>
      <c r="I188" t="str">
        <v>[매출] 4월 컴투스홀딩스 인사업무 분담금</v>
      </c>
      <c r="J188" t="str">
        <v>← 라이브게임 용역료, 업무위탁용역비</v>
      </c>
    </row>
    <row r="189" spans="1:10" x14ac:dyDescent="0.3">
      <c r="A189">
        <v>97</v>
      </c>
      <c r="B189" t="str">
        <v>주식회사 컴투스홀딩스</v>
      </c>
      <c r="C189" s="51">
        <v>46142</v>
      </c>
      <c r="D189" t="str">
        <v>4월</v>
      </c>
      <c r="E189" s="52">
        <v>5538410</v>
      </c>
      <c r="F189" t="str">
        <v>용역수익</v>
      </c>
      <c r="G189" t="str">
        <v>경영관리수익</v>
      </c>
      <c r="H189" t="str">
        <v>컴투스홀딩스</v>
      </c>
      <c r="I189" t="str">
        <v>[매출] 4월 컴투스홀딩스 라이브게임 용역료</v>
      </c>
      <c r="J189" t="str">
        <v>← 라이브게임 용역료, 업무위탁용역비</v>
      </c>
    </row>
    <row r="190" spans="1:10" x14ac:dyDescent="0.3">
      <c r="A190">
        <v>98</v>
      </c>
      <c r="B190" t="str">
        <v>주식회사 컴투스플랫폼</v>
      </c>
      <c r="C190" s="51">
        <v>46142</v>
      </c>
      <c r="D190" t="str">
        <v>4월</v>
      </c>
      <c r="E190" s="52">
        <v>1192162</v>
      </c>
      <c r="F190" t="str">
        <v>용역수익</v>
      </c>
      <c r="G190" t="str">
        <v>경영관리수익</v>
      </c>
      <c r="H190" t="str">
        <v>컴투스플랫폼</v>
      </c>
      <c r="I190" t="str">
        <v>[매출 / 가인식] 4월 컴투스플랫폼 용역위탁</v>
      </c>
      <c r="J190">
        <v>0</v>
      </c>
    </row>
    <row r="191" spans="1:10" x14ac:dyDescent="0.3">
      <c r="A191">
        <v>99</v>
      </c>
      <c r="B191" t="str">
        <v>Out of the park Developments GmbH &amp; Co.KG(OOTP)</v>
      </c>
      <c r="C191" s="51">
        <v>46142</v>
      </c>
      <c r="D191" t="str">
        <v>4월</v>
      </c>
      <c r="E191" s="52">
        <v>1631660</v>
      </c>
      <c r="F191" t="str">
        <v>용역수익</v>
      </c>
      <c r="G191" t="str">
        <v>경영관리수익</v>
      </c>
      <c r="H191" t="str">
        <v>OOTP(용역)</v>
      </c>
      <c r="I191" t="str">
        <v>[매출 / 가인식] 4월 OOTP 지원 용역매출</v>
      </c>
      <c r="J191" t="str">
        <v>← OOTP 지원 용역매출</v>
      </c>
    </row>
    <row r="192" spans="1:10" x14ac:dyDescent="0.3">
      <c r="A192">
        <v>100</v>
      </c>
      <c r="B192" t="str">
        <v>Com2uS USA Inc</v>
      </c>
      <c r="C192" s="51">
        <v>46142</v>
      </c>
      <c r="D192" t="str">
        <v>4월</v>
      </c>
      <c r="E192" s="52">
        <v>34626844</v>
      </c>
      <c r="F192" t="str">
        <v>용역수익</v>
      </c>
      <c r="G192" t="str">
        <v>경영관리수익</v>
      </c>
      <c r="H192" t="str">
        <v>Com2uS USA</v>
      </c>
      <c r="I192" t="str">
        <v>[매출 / 가인식] 4월 MLB PI 용역 매출</v>
      </c>
      <c r="J192">
        <v>0</v>
      </c>
    </row>
    <row r="193" spans="1:10" x14ac:dyDescent="0.3">
      <c r="A193">
        <v>101</v>
      </c>
      <c r="B193" t="str">
        <v>MetaMagnet Limited</v>
      </c>
      <c r="C193" s="51">
        <v>46142</v>
      </c>
      <c r="D193" t="str">
        <v>4월</v>
      </c>
      <c r="E193" s="52">
        <v>27422513</v>
      </c>
      <c r="F193" t="str">
        <v>용역수익</v>
      </c>
      <c r="G193" t="str">
        <v>경영관리수익</v>
      </c>
      <c r="H193" t="str">
        <v>MetaMagnet</v>
      </c>
      <c r="I193" t="str">
        <v>4월 컨텐츠공급계약 1,843,666.67개 @14.8739</v>
      </c>
      <c r="J193" t="str">
        <v>← 블록체인 관련 업무위탁수익</v>
      </c>
    </row>
    <row r="194" spans="1:10" x14ac:dyDescent="0.3">
      <c r="A194">
        <v>102</v>
      </c>
      <c r="B194" t="str">
        <v>MetaMagnet Limited</v>
      </c>
      <c r="C194" s="51">
        <v>46142</v>
      </c>
      <c r="D194" t="str">
        <v>4월</v>
      </c>
      <c r="E194" s="52">
        <v>522396</v>
      </c>
      <c r="F194" t="str">
        <v>용역수익</v>
      </c>
      <c r="G194" t="str">
        <v>경영관리수익</v>
      </c>
      <c r="H194" t="str">
        <v>MetaMagnet</v>
      </c>
      <c r="I194" t="str">
        <v>4월 Validator Delegation Reward 수익인식</v>
      </c>
      <c r="J194" t="str">
        <v>← 블록체인 관련 업무위탁수익</v>
      </c>
    </row>
    <row r="195" spans="1:10" x14ac:dyDescent="0.3">
      <c r="A195">
        <v>103</v>
      </c>
      <c r="B195" t="str">
        <v>MetaMagnet Limited</v>
      </c>
      <c r="C195" s="51">
        <v>46142</v>
      </c>
      <c r="D195" t="str">
        <v>4월</v>
      </c>
      <c r="E195" s="52">
        <v>2146816</v>
      </c>
      <c r="F195" t="str">
        <v>용역수익</v>
      </c>
      <c r="G195" t="str">
        <v>경영관리수익</v>
      </c>
      <c r="H195" t="str">
        <v>MetaMagnet</v>
      </c>
      <c r="I195" t="str">
        <v>4월 Validator Delegation Commission 수익인식</v>
      </c>
      <c r="J195" t="str">
        <v>← 블록체인 관련 업무위탁수익</v>
      </c>
    </row>
    <row r="196" spans="1:10" x14ac:dyDescent="0.3">
      <c r="A196">
        <v>104</v>
      </c>
      <c r="B196" t="str">
        <v>MetaMagnet Limited</v>
      </c>
      <c r="C196" s="51">
        <v>46142</v>
      </c>
      <c r="D196" t="str">
        <v>4월</v>
      </c>
      <c r="E196" s="52">
        <v>2393</v>
      </c>
      <c r="F196" t="str">
        <v>용역수익</v>
      </c>
      <c r="G196" t="str">
        <v>경영관리수익</v>
      </c>
      <c r="H196" t="str">
        <v>MetaMagnet</v>
      </c>
      <c r="I196" t="str">
        <v>4월 CTXT CONVERT 수수료 수량 183.08개 @13.33</v>
      </c>
      <c r="J196" t="str">
        <v>← 블록체인 관련 업무위탁수익</v>
      </c>
    </row>
    <row r="197" spans="1:10" x14ac:dyDescent="0.3">
      <c r="A197">
        <v>105</v>
      </c>
      <c r="B197" t="str">
        <v>MetaMagnet Limited</v>
      </c>
      <c r="C197" s="51">
        <v>46142</v>
      </c>
      <c r="D197" t="str">
        <v>4월</v>
      </c>
      <c r="E197" s="52">
        <v>15483289</v>
      </c>
      <c r="F197" t="str">
        <v>용역수익</v>
      </c>
      <c r="G197" t="str">
        <v>경영관리수익</v>
      </c>
      <c r="H197" t="str">
        <v>MetaMagnet</v>
      </c>
      <c r="I197" t="str">
        <v>4월 game token deploy 수익 인식 - 낚시의신: 크루(CTXT)</v>
      </c>
      <c r="J197" t="str">
        <v>← 블록체인 관련 업무위탁수익</v>
      </c>
    </row>
    <row r="198" spans="1:10" x14ac:dyDescent="0.3">
      <c r="A198">
        <v>106</v>
      </c>
      <c r="B198" t="str">
        <v>OASYS PTE. LTD.</v>
      </c>
      <c r="C198" s="51">
        <v>46142</v>
      </c>
      <c r="D198" t="str">
        <v>4월</v>
      </c>
      <c r="E198" s="52">
        <v>49579662</v>
      </c>
      <c r="F198" t="str">
        <v>용역수익</v>
      </c>
      <c r="G198" t="str">
        <v>경영관리수익</v>
      </c>
      <c r="H198" t="str">
        <v>OASYS</v>
      </c>
      <c r="I198" t="str">
        <v>4월 OAS Game Grant 수익 인식 669,929.40개 @74.0073</v>
      </c>
      <c r="J198" t="str">
        <v>← 블록체인 관련 업무위탁수익</v>
      </c>
    </row>
    <row r="199" spans="1:10" x14ac:dyDescent="0.3">
      <c r="A199">
        <v>107</v>
      </c>
      <c r="B199" t="str">
        <v>Com2uS USA Inc</v>
      </c>
      <c r="C199" s="51">
        <v>46142</v>
      </c>
      <c r="D199" t="str">
        <v>4월</v>
      </c>
      <c r="E199" s="52">
        <v>3036237</v>
      </c>
      <c r="F199" t="str">
        <v>용역수익</v>
      </c>
      <c r="G199" t="str">
        <v>경영관리수익</v>
      </c>
      <c r="H199" t="str">
        <v>Com2uS USA</v>
      </c>
      <c r="I199" t="str">
        <v>[매출 / 가인식] 4월 미국법인 가상자산 용역위탁료</v>
      </c>
      <c r="J199">
        <v>0</v>
      </c>
    </row>
    <row r="200" spans="1:10" x14ac:dyDescent="0.3">
      <c r="A200">
        <v>1</v>
      </c>
      <c r="B200" t="str">
        <v>Apple Inc.</v>
      </c>
      <c r="C200" s="51">
        <v>46023</v>
      </c>
      <c r="D200" t="str">
        <v>1월</v>
      </c>
      <c r="E200" s="52">
        <v>-508945449</v>
      </c>
      <c r="F200" t="str">
        <v>게임매출</v>
      </c>
      <c r="G200" t="str">
        <v>모바일</v>
      </c>
      <c r="H200" t="str">
        <v>애플</v>
      </c>
      <c r="I200" t="str">
        <v>[매출/예상] 12월 28~31일 캘린더 차이분 애플 KR / 역분개</v>
      </c>
      <c r="J200">
        <v>0</v>
      </c>
    </row>
    <row r="201" spans="1:10" x14ac:dyDescent="0.3">
      <c r="A201">
        <v>2</v>
      </c>
      <c r="B201" t="str">
        <v>Apple Inc.</v>
      </c>
      <c r="C201" s="51">
        <v>46023</v>
      </c>
      <c r="D201" t="str">
        <v>1월</v>
      </c>
      <c r="E201" s="52">
        <v>-351004733</v>
      </c>
      <c r="F201" t="str">
        <v>게임매출</v>
      </c>
      <c r="G201" t="str">
        <v>모바일</v>
      </c>
      <c r="H201" t="str">
        <v>애플</v>
      </c>
      <c r="I201" t="str">
        <v>[매출/예상] 12월 28~31일 캘린더 차이분 애플 JP / 역분개</v>
      </c>
      <c r="J201">
        <v>0</v>
      </c>
    </row>
    <row r="202" spans="1:10" x14ac:dyDescent="0.3">
      <c r="A202">
        <v>3</v>
      </c>
      <c r="B202" t="str">
        <v>Apple Inc.</v>
      </c>
      <c r="C202" s="51">
        <v>46023</v>
      </c>
      <c r="D202" t="str">
        <v>1월</v>
      </c>
      <c r="E202" s="52">
        <v>-1968025843</v>
      </c>
      <c r="F202" t="str">
        <v>게임매출</v>
      </c>
      <c r="G202" t="str">
        <v>모바일</v>
      </c>
      <c r="H202" t="str">
        <v>애플</v>
      </c>
      <c r="I202" t="str">
        <v>[매출/예상] 12월 28~31일 캘린더 차이분 애플 WW / 역분개</v>
      </c>
      <c r="J202">
        <v>0</v>
      </c>
    </row>
    <row r="203" spans="1:10" x14ac:dyDescent="0.3">
      <c r="A203">
        <v>4</v>
      </c>
      <c r="B203" t="str">
        <v>Beijing You Jie Le Communication Technology Co.,Lt</v>
      </c>
      <c r="C203" s="51">
        <v>46053</v>
      </c>
      <c r="D203" t="str">
        <v>1월</v>
      </c>
      <c r="E203" s="52">
        <v>772262657</v>
      </c>
      <c r="F203" t="str">
        <v>게임매출</v>
      </c>
      <c r="G203" t="str">
        <v>모바일</v>
      </c>
      <c r="H203" t="str">
        <v>Beijing Raymobile</v>
      </c>
      <c r="I203" t="str">
        <v>[매출] 26년 1월 Beijing YJL 매출</v>
      </c>
      <c r="J203">
        <v>0</v>
      </c>
    </row>
    <row r="204" spans="1:10" x14ac:dyDescent="0.3">
      <c r="A204">
        <v>5</v>
      </c>
      <c r="B204" t="str">
        <v>(주)밸로프(VALOFE Co., Ltd)</v>
      </c>
      <c r="C204" s="51">
        <v>46053</v>
      </c>
      <c r="D204" t="str">
        <v>1월</v>
      </c>
      <c r="E204" s="52">
        <v>661983</v>
      </c>
      <c r="F204" t="str">
        <v>게임매출</v>
      </c>
      <c r="G204" t="str">
        <v>모바일</v>
      </c>
      <c r="H204" t="str">
        <v>밸로프</v>
      </c>
      <c r="I204" t="str">
        <v>1월/매출_로열티정산/밸로프 루니아전기 로열티 정산(2026년 1월)</v>
      </c>
      <c r="J204">
        <v>0</v>
      </c>
    </row>
    <row r="205" spans="1:10" x14ac:dyDescent="0.3">
      <c r="A205">
        <v>6</v>
      </c>
      <c r="B205" t="str">
        <v>엔에이치엔한국사이버결제 주식회사</v>
      </c>
      <c r="C205" s="51">
        <v>46053</v>
      </c>
      <c r="D205" t="str">
        <v>1월</v>
      </c>
      <c r="E205" s="52">
        <v>83040819</v>
      </c>
      <c r="F205" t="str">
        <v>게임매출</v>
      </c>
      <c r="G205" t="str">
        <v>온라인</v>
      </c>
      <c r="H205" t="str">
        <v>NHN</v>
      </c>
      <c r="I205" t="str">
        <v>[매출/온라인] 26년 1월 KCP_컴프야</v>
      </c>
      <c r="J205">
        <v>0</v>
      </c>
    </row>
    <row r="206" spans="1:10" x14ac:dyDescent="0.3">
      <c r="A206">
        <v>7</v>
      </c>
      <c r="B206" t="str">
        <v>엔에이치엔한국사이버결제 주식회사</v>
      </c>
      <c r="C206" s="51">
        <v>46053</v>
      </c>
      <c r="D206" t="str">
        <v>1월</v>
      </c>
      <c r="E206" s="52">
        <v>488387273</v>
      </c>
      <c r="F206" t="str">
        <v>게임매출</v>
      </c>
      <c r="G206" t="str">
        <v>온라인</v>
      </c>
      <c r="H206" t="str">
        <v>NHN</v>
      </c>
      <c r="I206" t="str">
        <v>[매출/온라인] 26년 1월 KCP_컴프야V (웹)</v>
      </c>
      <c r="J206">
        <v>0</v>
      </c>
    </row>
    <row r="207" spans="1:10" x14ac:dyDescent="0.3">
      <c r="A207">
        <v>8</v>
      </c>
      <c r="B207" t="str">
        <v>엔에이치엔한국사이버결제 주식회사</v>
      </c>
      <c r="C207" s="51">
        <v>46053</v>
      </c>
      <c r="D207" t="str">
        <v>1월</v>
      </c>
      <c r="E207" s="52">
        <v>110270091</v>
      </c>
      <c r="F207" t="str">
        <v>게임매출</v>
      </c>
      <c r="G207" t="str">
        <v>온라인</v>
      </c>
      <c r="H207" t="str">
        <v>NHN</v>
      </c>
      <c r="I207" t="str">
        <v>[매출/온라인] 26년 1월 KCP_컴프야V</v>
      </c>
      <c r="J207">
        <v>0</v>
      </c>
    </row>
    <row r="208" spans="1:10" x14ac:dyDescent="0.3">
      <c r="A208">
        <v>9</v>
      </c>
      <c r="B208" t="str">
        <v>엔에이치엔한국사이버결제 주식회사</v>
      </c>
      <c r="C208" s="51">
        <v>46053</v>
      </c>
      <c r="D208" t="str">
        <v>1월</v>
      </c>
      <c r="E208" s="52">
        <v>445819</v>
      </c>
      <c r="F208" t="str">
        <v>게임매출</v>
      </c>
      <c r="G208" t="str">
        <v>온라인</v>
      </c>
      <c r="H208" t="str">
        <v>NHN</v>
      </c>
      <c r="I208" t="str">
        <v>[매출/온라인] 26년 1월 KCP_크로니클</v>
      </c>
      <c r="J208">
        <v>0</v>
      </c>
    </row>
    <row r="209" spans="1:10" x14ac:dyDescent="0.3">
      <c r="A209">
        <v>10</v>
      </c>
      <c r="B209" t="str">
        <v>엔에이치엔한국사이버결제 주식회사</v>
      </c>
      <c r="C209" s="51">
        <v>46053</v>
      </c>
      <c r="D209" t="str">
        <v>1월</v>
      </c>
      <c r="E209" s="52">
        <v>30501819</v>
      </c>
      <c r="F209" t="str">
        <v>게임매출</v>
      </c>
      <c r="G209" t="str">
        <v>온라인</v>
      </c>
      <c r="H209" t="str">
        <v>NHN</v>
      </c>
      <c r="I209" t="str">
        <v>[매출/온라인] 26년 1월 KCP_컴프매</v>
      </c>
      <c r="J209">
        <v>0</v>
      </c>
    </row>
    <row r="210" spans="1:10" x14ac:dyDescent="0.3">
      <c r="A210">
        <v>11</v>
      </c>
      <c r="B210" t="str">
        <v>엔에이치엔한국사이버결제 주식회사</v>
      </c>
      <c r="C210" s="51">
        <v>46053</v>
      </c>
      <c r="D210" t="str">
        <v>1월</v>
      </c>
      <c r="E210" s="52">
        <v>12179273</v>
      </c>
      <c r="F210" t="str">
        <v>게임매출</v>
      </c>
      <c r="G210" t="str">
        <v>온라인</v>
      </c>
      <c r="H210" t="str">
        <v>NHN</v>
      </c>
      <c r="I210" t="str">
        <v>[매출/온라인] 26년 1월 KCP_러쉬</v>
      </c>
      <c r="J210">
        <v>0</v>
      </c>
    </row>
    <row r="211" spans="1:10" x14ac:dyDescent="0.3">
      <c r="A211">
        <v>12</v>
      </c>
      <c r="B211" t="str">
        <v>엔에이치엔한국사이버결제 주식회사</v>
      </c>
      <c r="C211" s="51">
        <v>46053</v>
      </c>
      <c r="D211" t="str">
        <v>1월</v>
      </c>
      <c r="E211" s="52">
        <v>1800000</v>
      </c>
      <c r="F211" t="str">
        <v>게임매출</v>
      </c>
      <c r="G211" t="str">
        <v>온라인</v>
      </c>
      <c r="H211" t="str">
        <v>NHN</v>
      </c>
      <c r="I211" t="str">
        <v>[매출/온라인] 26년 1월 KCP_낚시의신</v>
      </c>
      <c r="J211">
        <v>0</v>
      </c>
    </row>
    <row r="212" spans="1:10" x14ac:dyDescent="0.3">
      <c r="A212">
        <v>13</v>
      </c>
      <c r="B212" t="str">
        <v>엔에이치엔한국사이버결제 주식회사</v>
      </c>
      <c r="C212" s="51">
        <v>46053</v>
      </c>
      <c r="D212" t="str">
        <v>1월</v>
      </c>
      <c r="E212" s="52">
        <v>21100000</v>
      </c>
      <c r="F212" t="str">
        <v>게임매출</v>
      </c>
      <c r="G212" t="str">
        <v>온라인</v>
      </c>
      <c r="H212" t="str">
        <v>NHN</v>
      </c>
      <c r="I212" t="str">
        <v>[매출/온라인] 26년 1월 KCP_제노니아</v>
      </c>
      <c r="J212">
        <v>0</v>
      </c>
    </row>
    <row r="213" spans="1:10" x14ac:dyDescent="0.3">
      <c r="A213">
        <v>14</v>
      </c>
      <c r="B213" t="str">
        <v>엔에이치엔한국사이버결제 주식회사</v>
      </c>
      <c r="C213" s="51">
        <v>46053</v>
      </c>
      <c r="D213" t="str">
        <v>1월</v>
      </c>
      <c r="E213" s="52">
        <v>320719455</v>
      </c>
      <c r="F213" t="str">
        <v>게임매출</v>
      </c>
      <c r="G213" t="str">
        <v>온라인</v>
      </c>
      <c r="H213" t="str">
        <v>NHN</v>
      </c>
      <c r="I213" t="str">
        <v>[매출/온라인] 26년 1월 KCP_스타라이트</v>
      </c>
      <c r="J213">
        <v>0</v>
      </c>
    </row>
    <row r="214" spans="1:10" x14ac:dyDescent="0.3">
      <c r="A214">
        <v>15</v>
      </c>
      <c r="B214" t="str">
        <v>엔에이치엔한국사이버결제 주식회사</v>
      </c>
      <c r="C214" s="51">
        <v>46053</v>
      </c>
      <c r="D214" t="str">
        <v>1월</v>
      </c>
      <c r="E214" s="52">
        <v>102022364</v>
      </c>
      <c r="F214" t="str">
        <v>게임매출</v>
      </c>
      <c r="G214" t="str">
        <v>온라인</v>
      </c>
      <c r="H214" t="str">
        <v>NHN</v>
      </c>
      <c r="I214" t="str">
        <v>[매출/온라인] 26년 1월 KCP_스타라이트(웹)</v>
      </c>
      <c r="J214">
        <v>0</v>
      </c>
    </row>
    <row r="215" spans="1:10" x14ac:dyDescent="0.3">
      <c r="A215">
        <v>16</v>
      </c>
      <c r="B215" t="str">
        <v>엔에이치엔한국사이버결제 주식회사</v>
      </c>
      <c r="C215" s="51">
        <v>46053</v>
      </c>
      <c r="D215" t="str">
        <v>1월</v>
      </c>
      <c r="E215" s="52">
        <v>6317000</v>
      </c>
      <c r="F215" t="str">
        <v>게임매출</v>
      </c>
      <c r="G215" t="str">
        <v>온라인</v>
      </c>
      <c r="H215" t="str">
        <v>NHN</v>
      </c>
      <c r="I215" t="str">
        <v>[매출/온라인] 26년 1월 KCP_아이모</v>
      </c>
      <c r="J215">
        <v>0</v>
      </c>
    </row>
    <row r="216" spans="1:10" x14ac:dyDescent="0.3">
      <c r="A216">
        <v>17</v>
      </c>
      <c r="B216" t="str">
        <v>(주)비바리퍼블리카</v>
      </c>
      <c r="C216" s="51">
        <v>46053</v>
      </c>
      <c r="D216" t="str">
        <v>1월</v>
      </c>
      <c r="E216" s="52">
        <v>478182</v>
      </c>
      <c r="F216" t="str">
        <v>게임매출</v>
      </c>
      <c r="G216" t="str">
        <v>모바일</v>
      </c>
      <c r="H216" t="str">
        <v>비바리퍼블리카</v>
      </c>
      <c r="I216" t="str">
        <v>[매출/온라인] 26.1월 비바리퍼블리카 매출</v>
      </c>
      <c r="J216">
        <v>0</v>
      </c>
    </row>
    <row r="217" spans="1:10" x14ac:dyDescent="0.3">
      <c r="A217">
        <v>18</v>
      </c>
      <c r="B217" t="str">
        <v>토스페이먼츠 주식회사</v>
      </c>
      <c r="C217" s="51">
        <v>46053</v>
      </c>
      <c r="D217" t="str">
        <v>1월</v>
      </c>
      <c r="E217" s="52">
        <v>219536364</v>
      </c>
      <c r="F217" t="str">
        <v>게임매출</v>
      </c>
      <c r="G217" t="str">
        <v>온라인</v>
      </c>
      <c r="H217" t="str">
        <v>토스페이먼츠</v>
      </c>
      <c r="I217" t="str">
        <v>[매출/온라인] 25년1월 토스페이먼츠 매출</v>
      </c>
      <c r="J217">
        <v>0</v>
      </c>
    </row>
    <row r="218" spans="1:10" x14ac:dyDescent="0.3">
      <c r="A218">
        <v>19</v>
      </c>
      <c r="B218" t="str">
        <v>네이버파이낸셜 주식회사</v>
      </c>
      <c r="C218" s="51">
        <v>46053</v>
      </c>
      <c r="D218" t="str">
        <v>1월</v>
      </c>
      <c r="E218" s="52">
        <v>50804546</v>
      </c>
      <c r="F218" t="str">
        <v>게임매출</v>
      </c>
      <c r="G218" t="str">
        <v>온라인</v>
      </c>
      <c r="H218" t="str">
        <v>네이버파이낸셜</v>
      </c>
      <c r="I218" t="str">
        <v>[매출/온라인] 26년 1월 네이버파이낸셜_컴프매</v>
      </c>
      <c r="J218">
        <v>0</v>
      </c>
    </row>
    <row r="219" spans="1:10" x14ac:dyDescent="0.3">
      <c r="A219">
        <v>20</v>
      </c>
      <c r="B219" t="str">
        <v>네이버파이낸셜 주식회사</v>
      </c>
      <c r="C219" s="51">
        <v>46053</v>
      </c>
      <c r="D219" t="str">
        <v>1월</v>
      </c>
      <c r="E219" s="52">
        <v>82306728</v>
      </c>
      <c r="F219" t="str">
        <v>게임매출</v>
      </c>
      <c r="G219" t="str">
        <v>온라인</v>
      </c>
      <c r="H219" t="str">
        <v>네이버파이낸셜</v>
      </c>
      <c r="I219" t="str">
        <v>[매출/온라인] 26년 1월 네이버파이낸셜_컴프야</v>
      </c>
      <c r="J219">
        <v>0</v>
      </c>
    </row>
    <row r="220" spans="1:10" x14ac:dyDescent="0.3">
      <c r="A220">
        <v>21</v>
      </c>
      <c r="B220" t="str">
        <v>네이버파이낸셜 주식회사</v>
      </c>
      <c r="C220" s="51">
        <v>46053</v>
      </c>
      <c r="D220" t="str">
        <v>1월</v>
      </c>
      <c r="E220" s="52">
        <v>660355455</v>
      </c>
      <c r="F220" t="str">
        <v>게임매출</v>
      </c>
      <c r="G220" t="str">
        <v>온라인</v>
      </c>
      <c r="H220" t="str">
        <v>네이버파이낸셜</v>
      </c>
      <c r="I220" t="str">
        <v>[매출/온라인] 26년 1월 네이버파이낸셜_컴프야V</v>
      </c>
      <c r="J220">
        <v>0</v>
      </c>
    </row>
    <row r="221" spans="1:10" x14ac:dyDescent="0.3">
      <c r="A221">
        <v>22</v>
      </c>
      <c r="B221" t="str">
        <v>네이버파이낸셜 주식회사</v>
      </c>
      <c r="C221" s="51">
        <v>46053</v>
      </c>
      <c r="D221" t="str">
        <v>1월</v>
      </c>
      <c r="E221" s="52">
        <v>481819</v>
      </c>
      <c r="F221" t="str">
        <v>게임매출</v>
      </c>
      <c r="G221" t="str">
        <v>온라인</v>
      </c>
      <c r="H221" t="str">
        <v>네이버파이낸셜</v>
      </c>
      <c r="I221" t="str">
        <v>[매출/온라인] 26년 1월 네이버파이낸셜_크로니클</v>
      </c>
      <c r="J221">
        <v>0</v>
      </c>
    </row>
    <row r="222" spans="1:10" x14ac:dyDescent="0.3">
      <c r="A222">
        <v>23</v>
      </c>
      <c r="B222" t="str">
        <v>Paypal PTE.LTD</v>
      </c>
      <c r="C222" s="51">
        <v>46053</v>
      </c>
      <c r="D222" t="str">
        <v>1월</v>
      </c>
      <c r="E222" s="52">
        <v>555387</v>
      </c>
      <c r="F222" t="str">
        <v>게임매출</v>
      </c>
      <c r="G222" t="str">
        <v>온라인</v>
      </c>
      <c r="H222" t="str">
        <v>Paypal</v>
      </c>
      <c r="I222" t="str">
        <v>[매출/온라인] 1월 페이팔 WW</v>
      </c>
      <c r="J222">
        <v>0</v>
      </c>
    </row>
    <row r="223" spans="1:10" x14ac:dyDescent="0.3">
      <c r="A223">
        <v>24</v>
      </c>
      <c r="B223" t="str">
        <v>Paypal PTE.LTD</v>
      </c>
      <c r="C223" s="51">
        <v>46053</v>
      </c>
      <c r="D223" t="str">
        <v>1월</v>
      </c>
      <c r="E223" s="52">
        <v>27040</v>
      </c>
      <c r="F223" t="str">
        <v>게임매출</v>
      </c>
      <c r="G223" t="str">
        <v>온라인</v>
      </c>
      <c r="H223" t="str">
        <v>Paypal</v>
      </c>
      <c r="I223" t="str">
        <v>[매출/온라인] 1월 페이팔 JP</v>
      </c>
      <c r="J223">
        <v>0</v>
      </c>
    </row>
    <row r="224" spans="1:10" x14ac:dyDescent="0.3">
      <c r="A224">
        <v>25</v>
      </c>
      <c r="B224" t="str">
        <v>SOFT-WORLD INT'L CORP.</v>
      </c>
      <c r="C224" s="51">
        <v>46053</v>
      </c>
      <c r="D224" t="str">
        <v>1월</v>
      </c>
      <c r="E224" s="52">
        <v>369050</v>
      </c>
      <c r="F224" t="str">
        <v>게임매출</v>
      </c>
      <c r="G224" t="str">
        <v>온라인</v>
      </c>
      <c r="H224" t="str">
        <v>SOFT-WORLD</v>
      </c>
      <c r="I224" t="str">
        <v>[매출/온라인] 2026.01 마이카드 (HK)</v>
      </c>
      <c r="J224" t="str">
        <v>← 스타시드 관련 (대만/HK 카드 매출)</v>
      </c>
    </row>
    <row r="225" spans="1:10" x14ac:dyDescent="0.3">
      <c r="A225">
        <v>26</v>
      </c>
      <c r="B225" t="str">
        <v>SOFT-WORLD INT'L CORP.</v>
      </c>
      <c r="C225" s="51">
        <v>46053</v>
      </c>
      <c r="D225" t="str">
        <v>1월</v>
      </c>
      <c r="E225" s="52">
        <v>19426349</v>
      </c>
      <c r="F225" t="str">
        <v>게임매출</v>
      </c>
      <c r="G225" t="str">
        <v>온라인</v>
      </c>
      <c r="H225" t="str">
        <v>SOFT-WORLD</v>
      </c>
      <c r="I225" t="str">
        <v>[매출/온라인] 2026.01 마이카드 (TW)</v>
      </c>
      <c r="J225" t="str">
        <v>← 스타시드 관련 (대만/HK 카드 매출)</v>
      </c>
    </row>
    <row r="226" spans="1:10" x14ac:dyDescent="0.3">
      <c r="A226">
        <v>27</v>
      </c>
      <c r="B226" t="str">
        <v>Xsolla (USA), Inc.</v>
      </c>
      <c r="C226" s="51">
        <v>46053</v>
      </c>
      <c r="D226" t="str">
        <v>1월</v>
      </c>
      <c r="E226" s="52">
        <v>18235403</v>
      </c>
      <c r="F226" t="str">
        <v>게임매출</v>
      </c>
      <c r="G226" t="str">
        <v>모바일</v>
      </c>
      <c r="H226" t="str">
        <v>Xsolla</v>
      </c>
      <c r="I226" t="str">
        <v>[매출] 서머너즈 워 : 러쉬 Xsolla 1월 매출 처리</v>
      </c>
      <c r="J226">
        <v>0</v>
      </c>
    </row>
    <row r="227" spans="1:10" x14ac:dyDescent="0.3">
      <c r="A227">
        <v>28</v>
      </c>
      <c r="B227" t="str">
        <v>Admob</v>
      </c>
      <c r="C227" s="51">
        <v>46053</v>
      </c>
      <c r="D227" t="str">
        <v>1월</v>
      </c>
      <c r="E227" s="52">
        <v>44</v>
      </c>
      <c r="F227" t="str">
        <v>게임매출</v>
      </c>
      <c r="G227" t="str">
        <v>광고</v>
      </c>
      <c r="H227" t="str">
        <v>Admob</v>
      </c>
      <c r="I227" t="str">
        <v>[매출/광고] 2026.01 GOOGLE ADMOB</v>
      </c>
      <c r="J227">
        <v>0</v>
      </c>
    </row>
    <row r="228" spans="1:10" x14ac:dyDescent="0.3">
      <c r="A228">
        <v>29</v>
      </c>
      <c r="B228" t="str">
        <v>주식회사 넵튠</v>
      </c>
      <c r="C228" s="51">
        <v>46053</v>
      </c>
      <c r="D228" t="str">
        <v>1월</v>
      </c>
      <c r="E228" s="52">
        <v>85697519</v>
      </c>
      <c r="F228" t="str">
        <v>게임매출</v>
      </c>
      <c r="G228" t="str">
        <v>광고</v>
      </c>
      <c r="H228" t="str">
        <v>넵튠</v>
      </c>
      <c r="I228" t="str">
        <v>[매출/광고] 26년 1월 넵튠 광고매출</v>
      </c>
      <c r="J228" t="str">
        <v>← 러쉬 Xsolla 정산</v>
      </c>
    </row>
    <row r="229" spans="1:10" x14ac:dyDescent="0.3">
      <c r="A229">
        <v>30</v>
      </c>
      <c r="B229" t="str">
        <v>주식회사 컴투스홀딩스</v>
      </c>
      <c r="C229" s="51">
        <v>46053</v>
      </c>
      <c r="D229" t="str">
        <v>1월</v>
      </c>
      <c r="E229" s="52">
        <v>35347414</v>
      </c>
      <c r="F229" t="str">
        <v>게임매출</v>
      </c>
      <c r="G229" t="str">
        <v>모바일</v>
      </c>
      <c r="H229" t="str">
        <v>컴투스홀딩스</v>
      </c>
      <c r="I229" t="str">
        <v>컴투스홀딩스 크리티카 모바일 정산(2026년 1월)</v>
      </c>
      <c r="J229">
        <v>0</v>
      </c>
    </row>
    <row r="230" spans="1:10" x14ac:dyDescent="0.3">
      <c r="A230">
        <v>31</v>
      </c>
      <c r="B230" t="str">
        <v>Out of the park Developments GmbH &amp; Co.KG(OOTP)</v>
      </c>
      <c r="C230" s="51">
        <v>46053</v>
      </c>
      <c r="D230" t="str">
        <v>1월</v>
      </c>
      <c r="E230" s="52">
        <v>354165</v>
      </c>
      <c r="F230" t="str">
        <v>게임매출</v>
      </c>
      <c r="G230" t="str">
        <v>OOTP</v>
      </c>
      <c r="H230" t="str">
        <v>OOTP</v>
      </c>
      <c r="I230" t="str">
        <v>01월 / 로열티수익 / 26년 01월  OOTP 구장 로열티 KBO</v>
      </c>
      <c r="J230" t="str">
        <v>← OOTP 관련(추정손익 파일상 기타매출로 분류)</v>
      </c>
    </row>
    <row r="231" spans="1:10" x14ac:dyDescent="0.3">
      <c r="A231">
        <v>32</v>
      </c>
      <c r="B231" t="str">
        <v>Out of the park Developments GmbH &amp; Co.KG(OOTP)</v>
      </c>
      <c r="C231" s="51">
        <v>46053</v>
      </c>
      <c r="D231" t="str">
        <v>1월</v>
      </c>
      <c r="E231" s="52">
        <v>1180560</v>
      </c>
      <c r="F231" t="str">
        <v>게임매출</v>
      </c>
      <c r="G231" t="str">
        <v>OOTP</v>
      </c>
      <c r="H231" t="str">
        <v>OOTP</v>
      </c>
      <c r="I231" t="str">
        <v>01월 / 로열티수익 / 26년 01월  OOTP 구장 로열티 MLB</v>
      </c>
      <c r="J231" t="str">
        <v>← OOTP 관련(추정손익 파일상 기타매출로 분류)</v>
      </c>
    </row>
    <row r="232" spans="1:10" x14ac:dyDescent="0.3">
      <c r="A232">
        <v>33</v>
      </c>
      <c r="B232" t="str">
        <v>Red River Digital Technology Development Joint Sto</v>
      </c>
      <c r="C232" s="51">
        <v>46053</v>
      </c>
      <c r="D232" t="str">
        <v>1월</v>
      </c>
      <c r="E232" s="52">
        <v>61304768</v>
      </c>
      <c r="F232" t="str">
        <v>게임매출</v>
      </c>
      <c r="G232" t="str">
        <v>모바일</v>
      </c>
      <c r="H232" t="str">
        <v>Red River</v>
      </c>
      <c r="I232" t="str">
        <v>[매출] 26년 1월 Redriver 서머너즈워 베트남 정산 USD 42,090.18</v>
      </c>
      <c r="J232">
        <v>0</v>
      </c>
    </row>
    <row r="233" spans="1:10" x14ac:dyDescent="0.3">
      <c r="A233">
        <v>34</v>
      </c>
      <c r="B233" t="str">
        <v>Facebook, Inc.</v>
      </c>
      <c r="C233" s="51">
        <v>46053</v>
      </c>
      <c r="D233" t="str">
        <v>1월</v>
      </c>
      <c r="E233" s="52">
        <v>15729274</v>
      </c>
      <c r="F233" t="str">
        <v>게임매출</v>
      </c>
      <c r="G233" t="str">
        <v>광고</v>
      </c>
      <c r="H233" t="str">
        <v>Facebook</v>
      </c>
      <c r="I233" t="str">
        <v>[매출/광고] 2026.01 FACEBOOK 매출</v>
      </c>
      <c r="J233">
        <v>0</v>
      </c>
    </row>
    <row r="234" spans="1:10" x14ac:dyDescent="0.3">
      <c r="A234">
        <v>35</v>
      </c>
      <c r="B234" t="str">
        <v>Line Corporation</v>
      </c>
      <c r="C234" s="51">
        <v>46053</v>
      </c>
      <c r="D234" t="str">
        <v>1월</v>
      </c>
      <c r="E234" s="52">
        <v>6795</v>
      </c>
      <c r="F234" t="str">
        <v>게임매출</v>
      </c>
      <c r="G234" t="str">
        <v>광고</v>
      </c>
      <c r="H234" t="str">
        <v>Line</v>
      </c>
      <c r="I234" t="str">
        <v>[매출/광고] 2026.01 LINE 매출_일본 원천세 10%</v>
      </c>
      <c r="J234">
        <v>0</v>
      </c>
    </row>
    <row r="235" spans="1:10" x14ac:dyDescent="0.3">
      <c r="A235">
        <v>36</v>
      </c>
      <c r="B235" t="str">
        <v>(주)밸로프(VALOFE Co., Ltd)</v>
      </c>
      <c r="C235" s="51">
        <v>46053</v>
      </c>
      <c r="D235" t="str">
        <v>1월</v>
      </c>
      <c r="E235" s="52">
        <v>848385</v>
      </c>
      <c r="F235" t="str">
        <v>게임매출</v>
      </c>
      <c r="G235" t="str">
        <v>모바일</v>
      </c>
      <c r="H235" t="str">
        <v>밸로프</v>
      </c>
      <c r="I235" t="str">
        <v>올엠 합병 자산부채 인식_루니아전기 계약금/기간손익 결산분개</v>
      </c>
      <c r="J235">
        <v>0</v>
      </c>
    </row>
    <row r="236" spans="1:10" x14ac:dyDescent="0.3">
      <c r="A236">
        <v>37</v>
      </c>
      <c r="B236" t="str">
        <v>GOOGLE, INC.</v>
      </c>
      <c r="C236" s="51">
        <v>46053</v>
      </c>
      <c r="D236" t="str">
        <v>1월</v>
      </c>
      <c r="E236" s="52">
        <v>5656328537</v>
      </c>
      <c r="F236" t="str">
        <v>게임매출</v>
      </c>
      <c r="G236" t="str">
        <v>모바일</v>
      </c>
      <c r="H236" t="str">
        <v>구글</v>
      </c>
      <c r="I236" t="str">
        <v>[매출/예상] 01월 구글 KR</v>
      </c>
      <c r="J236">
        <v>0</v>
      </c>
    </row>
    <row r="237" spans="1:10" x14ac:dyDescent="0.3">
      <c r="A237">
        <v>38</v>
      </c>
      <c r="B237" t="str">
        <v>GOOGLE, INC.</v>
      </c>
      <c r="C237" s="51">
        <v>46053</v>
      </c>
      <c r="D237" t="str">
        <v>1월</v>
      </c>
      <c r="E237" s="52">
        <v>898301655</v>
      </c>
      <c r="F237" t="str">
        <v>게임매출</v>
      </c>
      <c r="G237" t="str">
        <v>모바일</v>
      </c>
      <c r="H237" t="str">
        <v>구글</v>
      </c>
      <c r="I237" t="str">
        <v>[매출/예상] 01월 구글 JP</v>
      </c>
      <c r="J237">
        <v>0</v>
      </c>
    </row>
    <row r="238" spans="1:10" x14ac:dyDescent="0.3">
      <c r="A238">
        <v>39</v>
      </c>
      <c r="B238" t="str">
        <v>GOOGLE, INC.</v>
      </c>
      <c r="C238" s="51">
        <v>46053</v>
      </c>
      <c r="D238" t="str">
        <v>1월</v>
      </c>
      <c r="E238" s="52">
        <v>6894017373</v>
      </c>
      <c r="F238" t="str">
        <v>게임매출</v>
      </c>
      <c r="G238" t="str">
        <v>모바일</v>
      </c>
      <c r="H238" t="str">
        <v>구글</v>
      </c>
      <c r="I238" t="str">
        <v>[매출/예상] 01월 구글 WW</v>
      </c>
      <c r="J238">
        <v>0</v>
      </c>
    </row>
    <row r="239" spans="1:10" x14ac:dyDescent="0.3">
      <c r="A239">
        <v>40</v>
      </c>
      <c r="B239" t="str">
        <v>Apple Inc.</v>
      </c>
      <c r="C239" s="51">
        <v>46053</v>
      </c>
      <c r="D239" t="str">
        <v>1월</v>
      </c>
      <c r="E239" s="52">
        <v>4009990111</v>
      </c>
      <c r="F239" t="str">
        <v>게임매출</v>
      </c>
      <c r="G239" t="str">
        <v>모바일</v>
      </c>
      <c r="H239" t="str">
        <v>애플</v>
      </c>
      <c r="I239" t="str">
        <v>[매출/예상] 01월 애플 KR</v>
      </c>
      <c r="J239">
        <v>0</v>
      </c>
    </row>
    <row r="240" spans="1:10" x14ac:dyDescent="0.3">
      <c r="A240">
        <v>41</v>
      </c>
      <c r="B240" t="str">
        <v>Apple Inc.</v>
      </c>
      <c r="C240" s="51">
        <v>46053</v>
      </c>
      <c r="D240" t="str">
        <v>1월</v>
      </c>
      <c r="E240" s="52">
        <v>2444656135</v>
      </c>
      <c r="F240" t="str">
        <v>게임매출</v>
      </c>
      <c r="G240" t="str">
        <v>모바일</v>
      </c>
      <c r="H240" t="str">
        <v>애플</v>
      </c>
      <c r="I240" t="str">
        <v>[매출/예상] 01월 애플 JP</v>
      </c>
      <c r="J240">
        <v>0</v>
      </c>
    </row>
    <row r="241" spans="1:10" x14ac:dyDescent="0.3">
      <c r="A241">
        <v>42</v>
      </c>
      <c r="B241" t="str">
        <v>Apple Inc.</v>
      </c>
      <c r="C241" s="51">
        <v>46053</v>
      </c>
      <c r="D241" t="str">
        <v>1월</v>
      </c>
      <c r="E241" s="52">
        <v>12919531740</v>
      </c>
      <c r="F241" t="str">
        <v>게임매출</v>
      </c>
      <c r="G241" t="str">
        <v>모바일</v>
      </c>
      <c r="H241" t="str">
        <v>애플</v>
      </c>
      <c r="I241" t="str">
        <v>[매출/예상] 01월 애플 WW</v>
      </c>
      <c r="J241">
        <v>0</v>
      </c>
    </row>
    <row r="242" spans="1:10" x14ac:dyDescent="0.3">
      <c r="A242">
        <v>43</v>
      </c>
      <c r="B242" t="str">
        <v>Valve Corporation</v>
      </c>
      <c r="C242" s="51">
        <v>46053</v>
      </c>
      <c r="D242" t="str">
        <v>1월</v>
      </c>
      <c r="E242" s="52">
        <v>1414892374</v>
      </c>
      <c r="F242" t="str">
        <v>게임매출</v>
      </c>
      <c r="G242" t="str">
        <v>온라인</v>
      </c>
      <c r="H242" t="str">
        <v>Valve</v>
      </c>
      <c r="I242" t="str">
        <v>[매출/확정] 1월 스팀 매출</v>
      </c>
      <c r="J242">
        <v>0</v>
      </c>
    </row>
    <row r="243" spans="1:10" x14ac:dyDescent="0.3">
      <c r="A243">
        <v>44</v>
      </c>
      <c r="B243" t="str">
        <v>Huawei Services (hong Kong) Co., Limited</v>
      </c>
      <c r="C243" s="51">
        <v>46053</v>
      </c>
      <c r="D243" t="str">
        <v>1월</v>
      </c>
      <c r="E243" s="52">
        <v>973263687</v>
      </c>
      <c r="F243" t="str">
        <v>게임매출</v>
      </c>
      <c r="G243" t="str">
        <v>모바일</v>
      </c>
      <c r="H243" t="str">
        <v>Huawei</v>
      </c>
      <c r="I243" t="str">
        <v>[매출/예상] 1월 화웨이</v>
      </c>
      <c r="J243">
        <v>0</v>
      </c>
    </row>
    <row r="244" spans="1:10" x14ac:dyDescent="0.3">
      <c r="A244">
        <v>45</v>
      </c>
      <c r="B244" t="str">
        <v>개인_ KT olleh 마켓</v>
      </c>
      <c r="C244" s="51">
        <v>46053</v>
      </c>
      <c r="D244" t="str">
        <v>1월</v>
      </c>
      <c r="E244" s="52">
        <v>1421760145</v>
      </c>
      <c r="F244" t="str">
        <v>게임매출</v>
      </c>
      <c r="G244" t="str">
        <v>모바일</v>
      </c>
      <c r="H244" t="str">
        <v>원스토어</v>
      </c>
      <c r="I244" t="str">
        <v>[매출] 1월 원스토어 KT</v>
      </c>
      <c r="J244" t="str">
        <v>← 원스토어</v>
      </c>
    </row>
    <row r="245" spans="1:10" x14ac:dyDescent="0.3">
      <c r="A245">
        <v>46</v>
      </c>
      <c r="B245" t="str">
        <v>개인_LG World</v>
      </c>
      <c r="C245" s="51">
        <v>46053</v>
      </c>
      <c r="D245" t="str">
        <v>1월</v>
      </c>
      <c r="E245" s="52">
        <v>867607605</v>
      </c>
      <c r="F245" t="str">
        <v>게임매출</v>
      </c>
      <c r="G245" t="str">
        <v>모바일</v>
      </c>
      <c r="H245" t="str">
        <v>원스토어</v>
      </c>
      <c r="I245" t="str">
        <v>[매출] 1월 원스토어 LG</v>
      </c>
      <c r="J245" t="str">
        <v>← 원스토어</v>
      </c>
    </row>
    <row r="246" spans="1:10" x14ac:dyDescent="0.3">
      <c r="A246">
        <v>47</v>
      </c>
      <c r="B246" t="str">
        <v>개인_SK T store</v>
      </c>
      <c r="C246" s="51">
        <v>46053</v>
      </c>
      <c r="D246" t="str">
        <v>1월</v>
      </c>
      <c r="E246" s="52">
        <v>2142313010</v>
      </c>
      <c r="F246" t="str">
        <v>게임매출</v>
      </c>
      <c r="G246" t="str">
        <v>모바일</v>
      </c>
      <c r="H246" t="str">
        <v>원스토어</v>
      </c>
      <c r="I246" t="str">
        <v>[매출] 1월 원스토어 SK</v>
      </c>
      <c r="J246" t="str">
        <v>← 원스토어</v>
      </c>
    </row>
    <row r="247" spans="1:10" x14ac:dyDescent="0.3">
      <c r="A247">
        <v>48</v>
      </c>
      <c r="B247" t="str">
        <v>원스토어 주식회사</v>
      </c>
      <c r="C247" s="51">
        <v>46053</v>
      </c>
      <c r="D247" t="str">
        <v>1월</v>
      </c>
      <c r="E247" s="52">
        <v>79542927</v>
      </c>
      <c r="F247" t="str">
        <v>게임매출</v>
      </c>
      <c r="G247" t="str">
        <v>광고</v>
      </c>
      <c r="H247" t="str">
        <v>원스토어(광고)</v>
      </c>
      <c r="I247" t="str">
        <v>[매출] 원스토어 해외 1월 매출_TW</v>
      </c>
      <c r="J247" t="str">
        <v>← 애드엑스플러스 사명 변경 (23.11)</v>
      </c>
    </row>
    <row r="248" spans="1:10" x14ac:dyDescent="0.3">
      <c r="A248">
        <v>49</v>
      </c>
      <c r="B248" t="str">
        <v>원스토어 주식회사</v>
      </c>
      <c r="C248" s="51">
        <v>46053</v>
      </c>
      <c r="D248" t="str">
        <v>1월</v>
      </c>
      <c r="E248" s="52">
        <v>38150133</v>
      </c>
      <c r="F248" t="str">
        <v>게임매출</v>
      </c>
      <c r="G248" t="str">
        <v>광고</v>
      </c>
      <c r="H248" t="str">
        <v>원스토어(광고)</v>
      </c>
      <c r="I248" t="str">
        <v>[매출] 원스토어 해외 1월 매출_USA</v>
      </c>
      <c r="J248" t="str">
        <v>← 애드엑스플러스 사명 변경 (23.11)</v>
      </c>
    </row>
    <row r="249" spans="1:10" x14ac:dyDescent="0.3">
      <c r="A249">
        <v>50</v>
      </c>
      <c r="B249" t="str">
        <v>Terminal3</v>
      </c>
      <c r="C249" s="51">
        <v>46053</v>
      </c>
      <c r="D249" t="str">
        <v>1월</v>
      </c>
      <c r="E249" s="52">
        <v>5703316</v>
      </c>
      <c r="F249" t="str">
        <v>게임매출</v>
      </c>
      <c r="G249" t="str">
        <v>온라인</v>
      </c>
      <c r="H249" t="str">
        <v>Terminal3</v>
      </c>
      <c r="I249" t="str">
        <v>[매출/온라인] 26년 1월 터미널 3_크리티카 글로벌</v>
      </c>
      <c r="J249">
        <v>0</v>
      </c>
    </row>
    <row r="250" spans="1:10" x14ac:dyDescent="0.3">
      <c r="A250">
        <v>51</v>
      </c>
      <c r="B250" t="str">
        <v>Terminal3</v>
      </c>
      <c r="C250" s="51">
        <v>46053</v>
      </c>
      <c r="D250" t="str">
        <v>1월</v>
      </c>
      <c r="E250" s="52">
        <v>3518444</v>
      </c>
      <c r="F250" t="str">
        <v>게임매출</v>
      </c>
      <c r="G250" t="str">
        <v>온라인</v>
      </c>
      <c r="H250" t="str">
        <v>Terminal3</v>
      </c>
      <c r="I250" t="str">
        <v>[매출/온라인] 26년 1월 터미널3_낚시의 신_WW</v>
      </c>
      <c r="J250">
        <v>0</v>
      </c>
    </row>
    <row r="251" spans="1:10" x14ac:dyDescent="0.3">
      <c r="A251">
        <v>52</v>
      </c>
      <c r="B251" t="str">
        <v>Terminal3</v>
      </c>
      <c r="C251" s="51">
        <v>46053</v>
      </c>
      <c r="D251" t="str">
        <v>1월</v>
      </c>
      <c r="E251" s="52">
        <v>149836</v>
      </c>
      <c r="F251" t="str">
        <v>게임매출</v>
      </c>
      <c r="G251" t="str">
        <v>온라인</v>
      </c>
      <c r="H251" t="str">
        <v>Terminal3</v>
      </c>
      <c r="I251" t="str">
        <v>[매출/온라인] 26년 1월 터미널3_크로니클_JP</v>
      </c>
      <c r="J251">
        <v>0</v>
      </c>
    </row>
    <row r="252" spans="1:10" x14ac:dyDescent="0.3">
      <c r="A252">
        <v>53</v>
      </c>
      <c r="B252" t="str">
        <v>Terminal3</v>
      </c>
      <c r="C252" s="51">
        <v>46053</v>
      </c>
      <c r="D252" t="str">
        <v>1월</v>
      </c>
      <c r="E252" s="52">
        <v>2047426</v>
      </c>
      <c r="F252" t="str">
        <v>게임매출</v>
      </c>
      <c r="G252" t="str">
        <v>온라인</v>
      </c>
      <c r="H252" t="str">
        <v>Terminal3</v>
      </c>
      <c r="I252" t="str">
        <v>[매출/온라인] 26년 1월 터미널 3_크로니클 WW</v>
      </c>
      <c r="J252">
        <v>0</v>
      </c>
    </row>
    <row r="253" spans="1:10" x14ac:dyDescent="0.3">
      <c r="A253">
        <v>54</v>
      </c>
      <c r="B253" t="str">
        <v>Terminal3</v>
      </c>
      <c r="C253" s="51">
        <v>46053</v>
      </c>
      <c r="D253" t="str">
        <v>1월</v>
      </c>
      <c r="E253" s="52">
        <v>-1185943</v>
      </c>
      <c r="F253" t="str">
        <v>게임매출</v>
      </c>
      <c r="G253" t="str">
        <v>온라인</v>
      </c>
      <c r="H253" t="str">
        <v>Terminal3</v>
      </c>
      <c r="I253" t="str">
        <v>[매출/온라인] 26년 1월 터미널3_크로니클 WW_취소</v>
      </c>
      <c r="J253">
        <v>0</v>
      </c>
    </row>
    <row r="254" spans="1:10" x14ac:dyDescent="0.3">
      <c r="A254">
        <v>55</v>
      </c>
      <c r="B254" t="str">
        <v>Terminal3</v>
      </c>
      <c r="C254" s="51">
        <v>46053</v>
      </c>
      <c r="D254" t="str">
        <v>1월</v>
      </c>
      <c r="E254" s="52">
        <v>-351364</v>
      </c>
      <c r="F254" t="str">
        <v>게임매출</v>
      </c>
      <c r="G254" t="str">
        <v>온라인</v>
      </c>
      <c r="H254" t="str">
        <v>Terminal3</v>
      </c>
      <c r="I254" t="str">
        <v>[매출/온라인] 26년 1월 터미널3_크리티카 글로벌_취소</v>
      </c>
      <c r="J254">
        <v>0</v>
      </c>
    </row>
    <row r="255" spans="1:10" x14ac:dyDescent="0.3">
      <c r="A255">
        <v>56</v>
      </c>
      <c r="B255" t="str">
        <v>Terminal3</v>
      </c>
      <c r="C255" s="51">
        <v>46053</v>
      </c>
      <c r="D255" t="str">
        <v>1월</v>
      </c>
      <c r="E255" s="52">
        <v>-43719</v>
      </c>
      <c r="F255" t="str">
        <v>게임매출</v>
      </c>
      <c r="G255" t="str">
        <v>온라인</v>
      </c>
      <c r="H255" t="str">
        <v>Terminal3</v>
      </c>
      <c r="I255" t="str">
        <v>[매출/온라인] 26년 1월 터미널3_낚시의 신_취소</v>
      </c>
      <c r="J255">
        <v>0</v>
      </c>
    </row>
    <row r="256" spans="1:10" x14ac:dyDescent="0.3">
      <c r="A256">
        <v>57</v>
      </c>
      <c r="B256" t="str">
        <v>Amazon</v>
      </c>
      <c r="C256" s="51">
        <v>46053</v>
      </c>
      <c r="D256" t="str">
        <v>1월</v>
      </c>
      <c r="E256" s="52">
        <v>1147682</v>
      </c>
      <c r="F256" t="str">
        <v>게임매출</v>
      </c>
      <c r="G256" t="str">
        <v>모바일</v>
      </c>
      <c r="H256" t="str">
        <v>Amazon</v>
      </c>
      <c r="I256" t="str">
        <v>[매출/예상] 1월 아마존 EUR</v>
      </c>
      <c r="J256">
        <v>0</v>
      </c>
    </row>
    <row r="257" spans="1:10" x14ac:dyDescent="0.3">
      <c r="A257">
        <v>58</v>
      </c>
      <c r="B257" t="str">
        <v>Amazon</v>
      </c>
      <c r="C257" s="51">
        <v>46053</v>
      </c>
      <c r="D257" t="str">
        <v>1월</v>
      </c>
      <c r="E257" s="52">
        <v>22923</v>
      </c>
      <c r="F257" t="str">
        <v>게임매출</v>
      </c>
      <c r="G257" t="str">
        <v>모바일</v>
      </c>
      <c r="H257" t="str">
        <v>Amazon</v>
      </c>
      <c r="I257" t="str">
        <v>[매출/예상] 1월 아마존 GBP</v>
      </c>
      <c r="J257">
        <v>0</v>
      </c>
    </row>
    <row r="258" spans="1:10" x14ac:dyDescent="0.3">
      <c r="A258">
        <v>59</v>
      </c>
      <c r="B258" t="str">
        <v>Amazon</v>
      </c>
      <c r="C258" s="51">
        <v>46053</v>
      </c>
      <c r="D258" t="str">
        <v>1월</v>
      </c>
      <c r="E258" s="52">
        <v>592246</v>
      </c>
      <c r="F258" t="str">
        <v>게임매출</v>
      </c>
      <c r="G258" t="str">
        <v>모바일</v>
      </c>
      <c r="H258" t="str">
        <v>Amazon</v>
      </c>
      <c r="I258" t="str">
        <v>[매출/예상] 1월 아마존 USD</v>
      </c>
      <c r="J258">
        <v>0</v>
      </c>
    </row>
    <row r="259" spans="1:10" x14ac:dyDescent="0.3">
      <c r="A259">
        <v>60</v>
      </c>
      <c r="B259" t="str">
        <v>Amazon</v>
      </c>
      <c r="C259" s="51">
        <v>46053</v>
      </c>
      <c r="D259" t="str">
        <v>1월</v>
      </c>
      <c r="E259" s="52">
        <v>346749</v>
      </c>
      <c r="F259" t="str">
        <v>게임매출</v>
      </c>
      <c r="G259" t="str">
        <v>모바일</v>
      </c>
      <c r="H259" t="str">
        <v>Amazon</v>
      </c>
      <c r="I259" t="str">
        <v>[매출/예상] 1월 아마존 JPY</v>
      </c>
      <c r="J259">
        <v>0</v>
      </c>
    </row>
    <row r="260" spans="1:10" x14ac:dyDescent="0.3">
      <c r="A260">
        <v>67</v>
      </c>
      <c r="B260" t="str">
        <v>GOOGLE, INC.</v>
      </c>
      <c r="C260" s="51">
        <v>46081</v>
      </c>
      <c r="D260" t="str">
        <v>2월</v>
      </c>
      <c r="E260" s="52">
        <v>-5656328537</v>
      </c>
      <c r="F260" t="str">
        <v>게임매출</v>
      </c>
      <c r="G260" t="str">
        <v>모바일</v>
      </c>
      <c r="H260" t="str">
        <v>구글</v>
      </c>
      <c r="I260" t="str">
        <v>[매출/예상] 01월 구글 KR / 역분개</v>
      </c>
      <c r="J260">
        <v>0</v>
      </c>
    </row>
    <row r="261" spans="1:10" x14ac:dyDescent="0.3">
      <c r="A261">
        <v>68</v>
      </c>
      <c r="B261" t="str">
        <v>GOOGLE, INC.</v>
      </c>
      <c r="C261" s="51">
        <v>46081</v>
      </c>
      <c r="D261" t="str">
        <v>2월</v>
      </c>
      <c r="E261" s="52">
        <v>-898301655</v>
      </c>
      <c r="F261" t="str">
        <v>게임매출</v>
      </c>
      <c r="G261" t="str">
        <v>모바일</v>
      </c>
      <c r="H261" t="str">
        <v>구글</v>
      </c>
      <c r="I261" t="str">
        <v>[매출/예상] 01월 구글 JP / 역분개</v>
      </c>
      <c r="J261">
        <v>0</v>
      </c>
    </row>
    <row r="262" spans="1:10" x14ac:dyDescent="0.3">
      <c r="A262">
        <v>69</v>
      </c>
      <c r="B262" t="str">
        <v>GOOGLE, INC.</v>
      </c>
      <c r="C262" s="51">
        <v>46081</v>
      </c>
      <c r="D262" t="str">
        <v>2월</v>
      </c>
      <c r="E262" s="52">
        <v>-6894017373</v>
      </c>
      <c r="F262" t="str">
        <v>게임매출</v>
      </c>
      <c r="G262" t="str">
        <v>모바일</v>
      </c>
      <c r="H262" t="str">
        <v>구글</v>
      </c>
      <c r="I262" t="str">
        <v>[매출/예상] 01월 구글 WW / 역분개</v>
      </c>
      <c r="J262">
        <v>0</v>
      </c>
    </row>
    <row r="263" spans="1:10" x14ac:dyDescent="0.3">
      <c r="A263">
        <v>70</v>
      </c>
      <c r="B263" t="str">
        <v>Apple Inc.</v>
      </c>
      <c r="C263" s="51">
        <v>46081</v>
      </c>
      <c r="D263" t="str">
        <v>2월</v>
      </c>
      <c r="E263" s="52">
        <v>-4009990111</v>
      </c>
      <c r="F263" t="str">
        <v>게임매출</v>
      </c>
      <c r="G263" t="str">
        <v>모바일</v>
      </c>
      <c r="H263" t="str">
        <v>애플</v>
      </c>
      <c r="I263" t="str">
        <v>[매출/예상] 01월 애플 KR / 역분개</v>
      </c>
      <c r="J263">
        <v>0</v>
      </c>
    </row>
    <row r="264" spans="1:10" x14ac:dyDescent="0.3">
      <c r="A264">
        <v>71</v>
      </c>
      <c r="B264" t="str">
        <v>Apple Inc.</v>
      </c>
      <c r="C264" s="51">
        <v>46081</v>
      </c>
      <c r="D264" t="str">
        <v>2월</v>
      </c>
      <c r="E264" s="52">
        <v>-2444656135</v>
      </c>
      <c r="F264" t="str">
        <v>게임매출</v>
      </c>
      <c r="G264" t="str">
        <v>모바일</v>
      </c>
      <c r="H264" t="str">
        <v>애플</v>
      </c>
      <c r="I264" t="str">
        <v>[매출/예상] 01월 애플 JP / 역분개</v>
      </c>
      <c r="J264">
        <v>0</v>
      </c>
    </row>
    <row r="265" spans="1:10" x14ac:dyDescent="0.3">
      <c r="A265">
        <v>72</v>
      </c>
      <c r="B265" t="str">
        <v>Apple Inc.</v>
      </c>
      <c r="C265" s="51">
        <v>46081</v>
      </c>
      <c r="D265" t="str">
        <v>2월</v>
      </c>
      <c r="E265" s="52">
        <v>-12919531740</v>
      </c>
      <c r="F265" t="str">
        <v>게임매출</v>
      </c>
      <c r="G265" t="str">
        <v>모바일</v>
      </c>
      <c r="H265" t="str">
        <v>애플</v>
      </c>
      <c r="I265" t="str">
        <v>[매출/예상] 01월 애플 WW / 역분개</v>
      </c>
      <c r="J265">
        <v>0</v>
      </c>
    </row>
    <row r="266" spans="1:10" x14ac:dyDescent="0.3">
      <c r="A266">
        <v>73</v>
      </c>
      <c r="B266" t="str">
        <v>Huawei Services (hong Kong) Co., Limited</v>
      </c>
      <c r="C266" s="51">
        <v>46081</v>
      </c>
      <c r="D266" t="str">
        <v>2월</v>
      </c>
      <c r="E266" s="52">
        <v>-973263687</v>
      </c>
      <c r="F266" t="str">
        <v>게임매출</v>
      </c>
      <c r="G266" t="str">
        <v>모바일</v>
      </c>
      <c r="H266" t="str">
        <v>Huawei</v>
      </c>
      <c r="I266" t="str">
        <v>[매출/예상] 1월 화웨이 / 역분개</v>
      </c>
      <c r="J266">
        <v>0</v>
      </c>
    </row>
    <row r="267" spans="1:10" x14ac:dyDescent="0.3">
      <c r="A267">
        <v>74</v>
      </c>
      <c r="B267" t="str">
        <v>Amazon</v>
      </c>
      <c r="C267" s="51">
        <v>46081</v>
      </c>
      <c r="D267" t="str">
        <v>2월</v>
      </c>
      <c r="E267" s="52">
        <v>-1147682</v>
      </c>
      <c r="F267" t="str">
        <v>게임매출</v>
      </c>
      <c r="G267" t="str">
        <v>모바일</v>
      </c>
      <c r="H267" t="str">
        <v>Amazon</v>
      </c>
      <c r="I267" t="str">
        <v>[매출/예상] 1월 아마존 EUR / 역분개</v>
      </c>
      <c r="J267">
        <v>0</v>
      </c>
    </row>
    <row r="268" spans="1:10" x14ac:dyDescent="0.3">
      <c r="A268">
        <v>75</v>
      </c>
      <c r="B268" t="str">
        <v>Amazon</v>
      </c>
      <c r="C268" s="51">
        <v>46081</v>
      </c>
      <c r="D268" t="str">
        <v>2월</v>
      </c>
      <c r="E268" s="52">
        <v>-22923</v>
      </c>
      <c r="F268" t="str">
        <v>게임매출</v>
      </c>
      <c r="G268" t="str">
        <v>모바일</v>
      </c>
      <c r="H268" t="str">
        <v>Amazon</v>
      </c>
      <c r="I268" t="str">
        <v>[매출/예상] 1월 아마존 GBP / 역분개</v>
      </c>
      <c r="J268">
        <v>0</v>
      </c>
    </row>
    <row r="269" spans="1:10" x14ac:dyDescent="0.3">
      <c r="A269">
        <v>76</v>
      </c>
      <c r="B269" t="str">
        <v>Amazon</v>
      </c>
      <c r="C269" s="51">
        <v>46081</v>
      </c>
      <c r="D269" t="str">
        <v>2월</v>
      </c>
      <c r="E269" s="52">
        <v>-592246</v>
      </c>
      <c r="F269" t="str">
        <v>게임매출</v>
      </c>
      <c r="G269" t="str">
        <v>모바일</v>
      </c>
      <c r="H269" t="str">
        <v>Amazon</v>
      </c>
      <c r="I269" t="str">
        <v>[매출/예상] 1월 아마존 USD / 역분개</v>
      </c>
      <c r="J269">
        <v>0</v>
      </c>
    </row>
    <row r="270" spans="1:10" x14ac:dyDescent="0.3">
      <c r="A270">
        <v>77</v>
      </c>
      <c r="B270" t="str">
        <v>Amazon</v>
      </c>
      <c r="C270" s="51">
        <v>46081</v>
      </c>
      <c r="D270" t="str">
        <v>2월</v>
      </c>
      <c r="E270" s="52">
        <v>-346749</v>
      </c>
      <c r="F270" t="str">
        <v>게임매출</v>
      </c>
      <c r="G270" t="str">
        <v>모바일</v>
      </c>
      <c r="H270" t="str">
        <v>Amazon</v>
      </c>
      <c r="I270" t="str">
        <v>[매출/예상] 1월 아마존 JPY / 역분개</v>
      </c>
      <c r="J270">
        <v>0</v>
      </c>
    </row>
    <row r="271" spans="1:10" x14ac:dyDescent="0.3">
      <c r="A271">
        <v>78</v>
      </c>
      <c r="B271" t="str">
        <v>Beijing You Jie Le Communication Technology Co.,Lt</v>
      </c>
      <c r="C271" s="51">
        <v>46081</v>
      </c>
      <c r="D271" t="str">
        <v>2월</v>
      </c>
      <c r="E271" s="52">
        <v>755333023</v>
      </c>
      <c r="F271" t="str">
        <v>게임매출</v>
      </c>
      <c r="G271" t="str">
        <v>모바일</v>
      </c>
      <c r="H271" t="str">
        <v>Beijing Raymobile</v>
      </c>
      <c r="I271" t="str">
        <v>[매출] 26년 2월 Beijing YJL 매출</v>
      </c>
      <c r="J271">
        <v>0</v>
      </c>
    </row>
    <row r="272" spans="1:10" x14ac:dyDescent="0.3">
      <c r="A272">
        <v>79</v>
      </c>
      <c r="B272" t="str">
        <v>GOOGLE, INC.</v>
      </c>
      <c r="C272" s="51">
        <v>46081</v>
      </c>
      <c r="D272" t="str">
        <v>2월</v>
      </c>
      <c r="E272" s="52">
        <v>5867060569</v>
      </c>
      <c r="F272" t="str">
        <v>게임매출</v>
      </c>
      <c r="G272" t="str">
        <v>모바일</v>
      </c>
      <c r="H272" t="str">
        <v>구글</v>
      </c>
      <c r="I272" t="str">
        <v>[매출/확정] 1월 구글 KR</v>
      </c>
      <c r="J272">
        <v>0</v>
      </c>
    </row>
    <row r="273" spans="1:10" x14ac:dyDescent="0.3">
      <c r="A273">
        <v>80</v>
      </c>
      <c r="B273" t="str">
        <v>GOOGLE, INC.</v>
      </c>
      <c r="C273" s="51">
        <v>46081</v>
      </c>
      <c r="D273" t="str">
        <v>2월</v>
      </c>
      <c r="E273" s="52">
        <v>925939443</v>
      </c>
      <c r="F273" t="str">
        <v>게임매출</v>
      </c>
      <c r="G273" t="str">
        <v>모바일</v>
      </c>
      <c r="H273" t="str">
        <v>구글</v>
      </c>
      <c r="I273" t="str">
        <v>[매출/확정] 1월 구글 JP</v>
      </c>
      <c r="J273">
        <v>0</v>
      </c>
    </row>
    <row r="274" spans="1:10" x14ac:dyDescent="0.3">
      <c r="A274">
        <v>81</v>
      </c>
      <c r="B274" t="str">
        <v>GOOGLE, INC.</v>
      </c>
      <c r="C274" s="51">
        <v>46081</v>
      </c>
      <c r="D274" t="str">
        <v>2월</v>
      </c>
      <c r="E274" s="52">
        <v>7191863074</v>
      </c>
      <c r="F274" t="str">
        <v>게임매출</v>
      </c>
      <c r="G274" t="str">
        <v>모바일</v>
      </c>
      <c r="H274" t="str">
        <v>구글</v>
      </c>
      <c r="I274" t="str">
        <v>[매출/확정] 1월 구글 WW</v>
      </c>
      <c r="J274">
        <v>0</v>
      </c>
    </row>
    <row r="275" spans="1:10" x14ac:dyDescent="0.3">
      <c r="A275">
        <v>82</v>
      </c>
      <c r="B275" t="str">
        <v>GOOGLE, INC.</v>
      </c>
      <c r="C275" s="51">
        <v>46081</v>
      </c>
      <c r="D275" t="str">
        <v>2월</v>
      </c>
      <c r="E275" s="52">
        <v>5848813015</v>
      </c>
      <c r="F275" t="str">
        <v>게임매출</v>
      </c>
      <c r="G275" t="str">
        <v>모바일</v>
      </c>
      <c r="H275" t="str">
        <v>구글</v>
      </c>
      <c r="I275" t="str">
        <v>[매출/예상] 02월 구글 KR</v>
      </c>
      <c r="J275">
        <v>0</v>
      </c>
    </row>
    <row r="276" spans="1:10" x14ac:dyDescent="0.3">
      <c r="A276">
        <v>83</v>
      </c>
      <c r="B276" t="str">
        <v>GOOGLE, INC.</v>
      </c>
      <c r="C276" s="51">
        <v>46081</v>
      </c>
      <c r="D276" t="str">
        <v>2월</v>
      </c>
      <c r="E276" s="52">
        <v>793888706</v>
      </c>
      <c r="F276" t="str">
        <v>게임매출</v>
      </c>
      <c r="G276" t="str">
        <v>모바일</v>
      </c>
      <c r="H276" t="str">
        <v>구글</v>
      </c>
      <c r="I276" t="str">
        <v>[매출/예상] 02월 구글 JP</v>
      </c>
      <c r="J276">
        <v>0</v>
      </c>
    </row>
    <row r="277" spans="1:10" x14ac:dyDescent="0.3">
      <c r="A277">
        <v>84</v>
      </c>
      <c r="B277" t="str">
        <v>GOOGLE, INC.</v>
      </c>
      <c r="C277" s="51">
        <v>46081</v>
      </c>
      <c r="D277" t="str">
        <v>2월</v>
      </c>
      <c r="E277" s="52">
        <v>7240800982</v>
      </c>
      <c r="F277" t="str">
        <v>게임매출</v>
      </c>
      <c r="G277" t="str">
        <v>모바일</v>
      </c>
      <c r="H277" t="str">
        <v>구글</v>
      </c>
      <c r="I277" t="str">
        <v>[매출/예상] 02월 구글 WW</v>
      </c>
      <c r="J277">
        <v>0</v>
      </c>
    </row>
    <row r="278" spans="1:10" x14ac:dyDescent="0.3">
      <c r="A278">
        <v>85</v>
      </c>
      <c r="B278" t="str">
        <v>Apple Inc.</v>
      </c>
      <c r="C278" s="51">
        <v>46081</v>
      </c>
      <c r="D278" t="str">
        <v>2월</v>
      </c>
      <c r="E278" s="52">
        <v>4027363386</v>
      </c>
      <c r="F278" t="str">
        <v>게임매출</v>
      </c>
      <c r="G278" t="str">
        <v>모바일</v>
      </c>
      <c r="H278" t="str">
        <v>애플</v>
      </c>
      <c r="I278" t="str">
        <v>[매출/확정] 1월 애플 KR</v>
      </c>
      <c r="J278">
        <v>0</v>
      </c>
    </row>
    <row r="279" spans="1:10" x14ac:dyDescent="0.3">
      <c r="A279">
        <v>86</v>
      </c>
      <c r="B279" t="str">
        <v>Apple Inc.</v>
      </c>
      <c r="C279" s="51">
        <v>46081</v>
      </c>
      <c r="D279" t="str">
        <v>2월</v>
      </c>
      <c r="E279" s="52">
        <v>2450120874</v>
      </c>
      <c r="F279" t="str">
        <v>게임매출</v>
      </c>
      <c r="G279" t="str">
        <v>모바일</v>
      </c>
      <c r="H279" t="str">
        <v>애플</v>
      </c>
      <c r="I279" t="str">
        <v>[매출/확정] 1월 애플 JP</v>
      </c>
      <c r="J279">
        <v>0</v>
      </c>
    </row>
    <row r="280" spans="1:10" x14ac:dyDescent="0.3">
      <c r="A280">
        <v>87</v>
      </c>
      <c r="B280" t="str">
        <v>Apple Inc.</v>
      </c>
      <c r="C280" s="51">
        <v>46081</v>
      </c>
      <c r="D280" t="str">
        <v>2월</v>
      </c>
      <c r="E280" s="52">
        <v>12925027009</v>
      </c>
      <c r="F280" t="str">
        <v>게임매출</v>
      </c>
      <c r="G280" t="str">
        <v>모바일</v>
      </c>
      <c r="H280" t="str">
        <v>애플</v>
      </c>
      <c r="I280" t="str">
        <v>[매출/확정] 1월 애플 WW</v>
      </c>
      <c r="J280">
        <v>0</v>
      </c>
    </row>
    <row r="281" spans="1:10" x14ac:dyDescent="0.3">
      <c r="A281">
        <v>88</v>
      </c>
      <c r="B281" t="str">
        <v>Huawei Services (hong Kong) Co., Limited</v>
      </c>
      <c r="C281" s="51">
        <v>46081</v>
      </c>
      <c r="D281" t="str">
        <v>2월</v>
      </c>
      <c r="E281" s="52">
        <v>973620040</v>
      </c>
      <c r="F281" t="str">
        <v>게임매출</v>
      </c>
      <c r="G281" t="str">
        <v>모바일</v>
      </c>
      <c r="H281" t="str">
        <v>Huawei</v>
      </c>
      <c r="I281" t="str">
        <v>[매출/확정] 01월 화웨이</v>
      </c>
      <c r="J281">
        <v>0</v>
      </c>
    </row>
    <row r="282" spans="1:10" x14ac:dyDescent="0.3">
      <c r="A282">
        <v>89</v>
      </c>
      <c r="B282" t="str">
        <v>(주)밸로프(VALOFE Co., Ltd)</v>
      </c>
      <c r="C282" s="51">
        <v>46081</v>
      </c>
      <c r="D282" t="str">
        <v>2월</v>
      </c>
      <c r="E282" s="52">
        <v>764587</v>
      </c>
      <c r="F282" t="str">
        <v>게임매출</v>
      </c>
      <c r="G282" t="str">
        <v>모바일</v>
      </c>
      <c r="H282" t="str">
        <v>밸로프</v>
      </c>
      <c r="I282" t="str">
        <v>2월/매출_로열티정산/밸로프 루니아전기 로열티 정산(2026년 2월)</v>
      </c>
      <c r="J282">
        <v>0</v>
      </c>
    </row>
    <row r="283" spans="1:10" x14ac:dyDescent="0.3">
      <c r="A283">
        <v>90</v>
      </c>
      <c r="B283" t="str">
        <v>주식회사 컴투스홀딩스</v>
      </c>
      <c r="C283" s="51">
        <v>46081</v>
      </c>
      <c r="D283" t="str">
        <v>2월</v>
      </c>
      <c r="E283" s="52">
        <v>29677546</v>
      </c>
      <c r="F283" t="str">
        <v>게임매출</v>
      </c>
      <c r="G283" t="str">
        <v>모바일</v>
      </c>
      <c r="H283" t="str">
        <v>컴투스홀딩스</v>
      </c>
      <c r="I283" t="str">
        <v>컴투스홀딩스 크리티카 모바일 정산(2026년 2월)</v>
      </c>
      <c r="J283">
        <v>0</v>
      </c>
    </row>
    <row r="284" spans="1:10" x14ac:dyDescent="0.3">
      <c r="A284">
        <v>91</v>
      </c>
      <c r="B284" t="str">
        <v>(주)밸로프(VALOFE Co., Ltd)</v>
      </c>
      <c r="C284" s="51">
        <v>46081</v>
      </c>
      <c r="D284" t="str">
        <v>2월</v>
      </c>
      <c r="E284" s="52">
        <v>30092205</v>
      </c>
      <c r="F284" t="str">
        <v>게임매출</v>
      </c>
      <c r="G284" t="str">
        <v>모바일</v>
      </c>
      <c r="H284" t="str">
        <v>밸로프</v>
      </c>
      <c r="I284" t="str">
        <v>2월/매출_로열티정산/밸로프 제노니아 로열티 정산(2026년 2월)</v>
      </c>
      <c r="J284">
        <v>0</v>
      </c>
    </row>
    <row r="285" spans="1:10" x14ac:dyDescent="0.3">
      <c r="A285">
        <v>92</v>
      </c>
      <c r="B285" t="str">
        <v>엔에이치엔한국사이버결제 주식회사</v>
      </c>
      <c r="C285" s="51">
        <v>46081</v>
      </c>
      <c r="D285" t="str">
        <v>2월</v>
      </c>
      <c r="E285" s="52">
        <v>104079637</v>
      </c>
      <c r="F285" t="str">
        <v>게임매출</v>
      </c>
      <c r="G285" t="str">
        <v>온라인</v>
      </c>
      <c r="H285" t="str">
        <v>NHN</v>
      </c>
      <c r="I285" t="str">
        <v>[매출/온라인] 26년 2월 KCP_컴프야</v>
      </c>
      <c r="J285">
        <v>0</v>
      </c>
    </row>
    <row r="286" spans="1:10" x14ac:dyDescent="0.3">
      <c r="A286">
        <v>93</v>
      </c>
      <c r="B286" t="str">
        <v>엔에이치엔한국사이버결제 주식회사</v>
      </c>
      <c r="C286" s="51">
        <v>46081</v>
      </c>
      <c r="D286" t="str">
        <v>2월</v>
      </c>
      <c r="E286" s="52">
        <v>492985455</v>
      </c>
      <c r="F286" t="str">
        <v>게임매출</v>
      </c>
      <c r="G286" t="str">
        <v>온라인</v>
      </c>
      <c r="H286" t="str">
        <v>NHN</v>
      </c>
      <c r="I286" t="str">
        <v>[매출/온라인] 26년 2월 KCP_컴프야V (웹)</v>
      </c>
      <c r="J286">
        <v>0</v>
      </c>
    </row>
    <row r="287" spans="1:10" x14ac:dyDescent="0.3">
      <c r="A287">
        <v>94</v>
      </c>
      <c r="B287" t="str">
        <v>엔에이치엔한국사이버결제 주식회사</v>
      </c>
      <c r="C287" s="51">
        <v>46081</v>
      </c>
      <c r="D287" t="str">
        <v>2월</v>
      </c>
      <c r="E287" s="52">
        <v>119386182</v>
      </c>
      <c r="F287" t="str">
        <v>게임매출</v>
      </c>
      <c r="G287" t="str">
        <v>온라인</v>
      </c>
      <c r="H287" t="str">
        <v>NHN</v>
      </c>
      <c r="I287" t="str">
        <v>[매출/온라인] 26년 2월 KCP_컴프야V</v>
      </c>
      <c r="J287">
        <v>0</v>
      </c>
    </row>
    <row r="288" spans="1:10" x14ac:dyDescent="0.3">
      <c r="A288">
        <v>95</v>
      </c>
      <c r="B288" t="str">
        <v>엔에이치엔한국사이버결제 주식회사</v>
      </c>
      <c r="C288" s="51">
        <v>46081</v>
      </c>
      <c r="D288" t="str">
        <v>2월</v>
      </c>
      <c r="E288" s="52">
        <v>400910</v>
      </c>
      <c r="F288" t="str">
        <v>게임매출</v>
      </c>
      <c r="G288" t="str">
        <v>온라인</v>
      </c>
      <c r="H288" t="str">
        <v>NHN</v>
      </c>
      <c r="I288" t="str">
        <v>[매출/온라인] 26년 2월 KCP_크로니클</v>
      </c>
      <c r="J288">
        <v>0</v>
      </c>
    </row>
    <row r="289" spans="1:10" x14ac:dyDescent="0.3">
      <c r="A289">
        <v>96</v>
      </c>
      <c r="B289" t="str">
        <v>엔에이치엔한국사이버결제 주식회사</v>
      </c>
      <c r="C289" s="51">
        <v>46081</v>
      </c>
      <c r="D289" t="str">
        <v>2월</v>
      </c>
      <c r="E289" s="52">
        <v>28453637</v>
      </c>
      <c r="F289" t="str">
        <v>게임매출</v>
      </c>
      <c r="G289" t="str">
        <v>온라인</v>
      </c>
      <c r="H289" t="str">
        <v>NHN</v>
      </c>
      <c r="I289" t="str">
        <v>[매출/온라인] 26년 2월 KCP_컴프매</v>
      </c>
      <c r="J289">
        <v>0</v>
      </c>
    </row>
    <row r="290" spans="1:10" x14ac:dyDescent="0.3">
      <c r="A290">
        <v>97</v>
      </c>
      <c r="B290" t="str">
        <v>엔에이치엔한국사이버결제 주식회사</v>
      </c>
      <c r="C290" s="51">
        <v>46081</v>
      </c>
      <c r="D290" t="str">
        <v>2월</v>
      </c>
      <c r="E290" s="52">
        <v>13661364</v>
      </c>
      <c r="F290" t="str">
        <v>게임매출</v>
      </c>
      <c r="G290" t="str">
        <v>온라인</v>
      </c>
      <c r="H290" t="str">
        <v>NHN</v>
      </c>
      <c r="I290" t="str">
        <v>[매출/온라인] 26년 2월 KCP_러쉬</v>
      </c>
      <c r="J290">
        <v>0</v>
      </c>
    </row>
    <row r="291" spans="1:10" x14ac:dyDescent="0.3">
      <c r="A291">
        <v>98</v>
      </c>
      <c r="B291" t="str">
        <v>엔에이치엔한국사이버결제 주식회사</v>
      </c>
      <c r="C291" s="51">
        <v>46081</v>
      </c>
      <c r="D291" t="str">
        <v>2월</v>
      </c>
      <c r="E291" s="52">
        <v>650000</v>
      </c>
      <c r="F291" t="str">
        <v>게임매출</v>
      </c>
      <c r="G291" t="str">
        <v>온라인</v>
      </c>
      <c r="H291" t="str">
        <v>NHN</v>
      </c>
      <c r="I291" t="str">
        <v>[매출/온라인] 26년 2월 KCP_낚시의신</v>
      </c>
      <c r="J291">
        <v>0</v>
      </c>
    </row>
    <row r="292" spans="1:10" x14ac:dyDescent="0.3">
      <c r="A292">
        <v>99</v>
      </c>
      <c r="B292" t="str">
        <v>엔에이치엔한국사이버결제 주식회사</v>
      </c>
      <c r="C292" s="51">
        <v>46081</v>
      </c>
      <c r="D292" t="str">
        <v>2월</v>
      </c>
      <c r="E292" s="52">
        <v>236362728</v>
      </c>
      <c r="F292" t="str">
        <v>게임매출</v>
      </c>
      <c r="G292" t="str">
        <v>온라인</v>
      </c>
      <c r="H292" t="str">
        <v>NHN</v>
      </c>
      <c r="I292" t="str">
        <v>[매출/온라인] 26년 2월 KCP_스타라이트</v>
      </c>
      <c r="J292">
        <v>0</v>
      </c>
    </row>
    <row r="293" spans="1:10" x14ac:dyDescent="0.3">
      <c r="A293">
        <v>100</v>
      </c>
      <c r="B293" t="str">
        <v>엔에이치엔한국사이버결제 주식회사</v>
      </c>
      <c r="C293" s="51">
        <v>46081</v>
      </c>
      <c r="D293" t="str">
        <v>2월</v>
      </c>
      <c r="E293" s="52">
        <v>62361910</v>
      </c>
      <c r="F293" t="str">
        <v>게임매출</v>
      </c>
      <c r="G293" t="str">
        <v>온라인</v>
      </c>
      <c r="H293" t="str">
        <v>NHN</v>
      </c>
      <c r="I293" t="str">
        <v>[매출/온라인] 26년 2월 KCP_스타라이트(웹)</v>
      </c>
      <c r="J293">
        <v>0</v>
      </c>
    </row>
    <row r="294" spans="1:10" x14ac:dyDescent="0.3">
      <c r="A294">
        <v>101</v>
      </c>
      <c r="B294" t="str">
        <v>엔에이치엔한국사이버결제 주식회사</v>
      </c>
      <c r="C294" s="51">
        <v>46081</v>
      </c>
      <c r="D294" t="str">
        <v>2월</v>
      </c>
      <c r="E294" s="52">
        <v>5880000</v>
      </c>
      <c r="F294" t="str">
        <v>게임매출</v>
      </c>
      <c r="G294" t="str">
        <v>온라인</v>
      </c>
      <c r="H294" t="str">
        <v>NHN</v>
      </c>
      <c r="I294" t="str">
        <v>[매출/온라인] 26년 2월 KCP_아이모</v>
      </c>
      <c r="J294">
        <v>0</v>
      </c>
    </row>
    <row r="295" spans="1:10" x14ac:dyDescent="0.3">
      <c r="A295">
        <v>102</v>
      </c>
      <c r="B295" t="str">
        <v>네이버파이낸셜 주식회사</v>
      </c>
      <c r="C295" s="51">
        <v>46081</v>
      </c>
      <c r="D295" t="str">
        <v>2월</v>
      </c>
      <c r="E295" s="52">
        <v>33679091</v>
      </c>
      <c r="F295" t="str">
        <v>게임매출</v>
      </c>
      <c r="G295" t="str">
        <v>온라인</v>
      </c>
      <c r="H295" t="str">
        <v>네이버파이낸셜</v>
      </c>
      <c r="I295" t="str">
        <v>[매출/온라인] 26년 2월 네이버파이낸셜_컴프매</v>
      </c>
      <c r="J295">
        <v>0</v>
      </c>
    </row>
    <row r="296" spans="1:10" x14ac:dyDescent="0.3">
      <c r="A296">
        <v>103</v>
      </c>
      <c r="B296" t="str">
        <v>네이버파이낸셜 주식회사</v>
      </c>
      <c r="C296" s="51">
        <v>46081</v>
      </c>
      <c r="D296" t="str">
        <v>2월</v>
      </c>
      <c r="E296" s="52">
        <v>112292637</v>
      </c>
      <c r="F296" t="str">
        <v>게임매출</v>
      </c>
      <c r="G296" t="str">
        <v>온라인</v>
      </c>
      <c r="H296" t="str">
        <v>네이버파이낸셜</v>
      </c>
      <c r="I296" t="str">
        <v>[매출/온라인] 26년 2월 네이버파이낸셜_컴프야</v>
      </c>
      <c r="J296">
        <v>0</v>
      </c>
    </row>
    <row r="297" spans="1:10" x14ac:dyDescent="0.3">
      <c r="A297">
        <v>104</v>
      </c>
      <c r="B297" t="str">
        <v>네이버파이낸셜 주식회사</v>
      </c>
      <c r="C297" s="51">
        <v>46081</v>
      </c>
      <c r="D297" t="str">
        <v>2월</v>
      </c>
      <c r="E297" s="52">
        <v>611219091</v>
      </c>
      <c r="F297" t="str">
        <v>게임매출</v>
      </c>
      <c r="G297" t="str">
        <v>온라인</v>
      </c>
      <c r="H297" t="str">
        <v>네이버파이낸셜</v>
      </c>
      <c r="I297" t="str">
        <v>[매출/온라인] 26년 2월 네이버파이낸셜_컴프야V</v>
      </c>
      <c r="J297">
        <v>0</v>
      </c>
    </row>
    <row r="298" spans="1:10" x14ac:dyDescent="0.3">
      <c r="A298">
        <v>105</v>
      </c>
      <c r="B298" t="str">
        <v>네이버파이낸셜 주식회사</v>
      </c>
      <c r="C298" s="51">
        <v>46081</v>
      </c>
      <c r="D298" t="str">
        <v>2월</v>
      </c>
      <c r="E298" s="52">
        <v>477273</v>
      </c>
      <c r="F298" t="str">
        <v>게임매출</v>
      </c>
      <c r="G298" t="str">
        <v>온라인</v>
      </c>
      <c r="H298" t="str">
        <v>네이버파이낸셜</v>
      </c>
      <c r="I298" t="str">
        <v>[매출/온라인] 26년 2월 네이버파이낸셜_크로니클</v>
      </c>
      <c r="J298">
        <v>0</v>
      </c>
    </row>
    <row r="299" spans="1:10" x14ac:dyDescent="0.3">
      <c r="A299">
        <v>106</v>
      </c>
      <c r="B299" t="str">
        <v>토스페이먼츠 주식회사</v>
      </c>
      <c r="C299" s="51">
        <v>46081</v>
      </c>
      <c r="D299" t="str">
        <v>2월</v>
      </c>
      <c r="E299" s="52">
        <v>183753182</v>
      </c>
      <c r="F299" t="str">
        <v>게임매출</v>
      </c>
      <c r="G299" t="str">
        <v>온라인</v>
      </c>
      <c r="H299" t="str">
        <v>토스페이먼츠</v>
      </c>
      <c r="I299" t="str">
        <v>[매출/온라인] 26년2월 토스페이먼츠 매출</v>
      </c>
      <c r="J299">
        <v>0</v>
      </c>
    </row>
    <row r="300" spans="1:10" x14ac:dyDescent="0.3">
      <c r="A300">
        <v>107</v>
      </c>
      <c r="B300" t="str">
        <v>Paypal PTE.LTD</v>
      </c>
      <c r="C300" s="51">
        <v>46081</v>
      </c>
      <c r="D300" t="str">
        <v>2월</v>
      </c>
      <c r="E300" s="52">
        <v>507604</v>
      </c>
      <c r="F300" t="str">
        <v>게임매출</v>
      </c>
      <c r="G300" t="str">
        <v>온라인</v>
      </c>
      <c r="H300" t="str">
        <v>Paypal</v>
      </c>
      <c r="I300" t="str">
        <v>[매출/온라인] 2월 페이팔 WW</v>
      </c>
      <c r="J300">
        <v>0</v>
      </c>
    </row>
    <row r="301" spans="1:10" x14ac:dyDescent="0.3">
      <c r="A301">
        <v>108</v>
      </c>
      <c r="B301" t="str">
        <v>Paypal PTE.LTD</v>
      </c>
      <c r="C301" s="51">
        <v>46081</v>
      </c>
      <c r="D301" t="str">
        <v>2월</v>
      </c>
      <c r="E301" s="52">
        <v>27131</v>
      </c>
      <c r="F301" t="str">
        <v>게임매출</v>
      </c>
      <c r="G301" t="str">
        <v>온라인</v>
      </c>
      <c r="H301" t="str">
        <v>Paypal</v>
      </c>
      <c r="I301" t="str">
        <v>[매출/온라인] 2월 페이팔 JP</v>
      </c>
      <c r="J301">
        <v>0</v>
      </c>
    </row>
    <row r="302" spans="1:10" x14ac:dyDescent="0.3">
      <c r="A302">
        <v>109</v>
      </c>
      <c r="B302" t="str">
        <v>Xsolla (USA), Inc.</v>
      </c>
      <c r="C302" s="51">
        <v>46081</v>
      </c>
      <c r="D302" t="str">
        <v>2월</v>
      </c>
      <c r="E302" s="52">
        <v>18196314</v>
      </c>
      <c r="F302" t="str">
        <v>게임매출</v>
      </c>
      <c r="G302" t="str">
        <v>모바일</v>
      </c>
      <c r="H302" t="str">
        <v>Xsolla</v>
      </c>
      <c r="I302" t="str">
        <v>[매출] 서머너즈 워 : 러쉬 Xsolla 2월 매출 처리</v>
      </c>
      <c r="J302">
        <v>0</v>
      </c>
    </row>
    <row r="303" spans="1:10" x14ac:dyDescent="0.3">
      <c r="A303">
        <v>110</v>
      </c>
      <c r="B303" t="str">
        <v>주식회사 넵튠</v>
      </c>
      <c r="C303" s="51">
        <v>46081</v>
      </c>
      <c r="D303" t="str">
        <v>2월</v>
      </c>
      <c r="E303" s="52">
        <v>71388096</v>
      </c>
      <c r="F303" t="str">
        <v>게임매출</v>
      </c>
      <c r="G303" t="str">
        <v>광고</v>
      </c>
      <c r="H303" t="str">
        <v>넵튠</v>
      </c>
      <c r="I303" t="str">
        <v>[매출/광고] 26년 2월 넵튠 광고매출</v>
      </c>
      <c r="J303" t="str">
        <v>← 러쉬 Xsolla 정산</v>
      </c>
    </row>
    <row r="304" spans="1:10" x14ac:dyDescent="0.3">
      <c r="A304">
        <v>111</v>
      </c>
      <c r="B304" t="str">
        <v>Facebook, Inc.</v>
      </c>
      <c r="C304" s="51">
        <v>46081</v>
      </c>
      <c r="D304" t="str">
        <v>2월</v>
      </c>
      <c r="E304" s="52">
        <v>17306910</v>
      </c>
      <c r="F304" t="str">
        <v>게임매출</v>
      </c>
      <c r="G304" t="str">
        <v>광고</v>
      </c>
      <c r="H304" t="str">
        <v>Facebook</v>
      </c>
      <c r="I304" t="str">
        <v>[매출/광고] 2026.02 FACEBOOK 매출</v>
      </c>
      <c r="J304">
        <v>0</v>
      </c>
    </row>
    <row r="305" spans="1:10" x14ac:dyDescent="0.3">
      <c r="A305">
        <v>112</v>
      </c>
      <c r="B305" t="str">
        <v>Line Corporation</v>
      </c>
      <c r="C305" s="51">
        <v>46081</v>
      </c>
      <c r="D305" t="str">
        <v>2월</v>
      </c>
      <c r="E305" s="52">
        <v>2751</v>
      </c>
      <c r="F305" t="str">
        <v>게임매출</v>
      </c>
      <c r="G305" t="str">
        <v>광고</v>
      </c>
      <c r="H305" t="str">
        <v>Line</v>
      </c>
      <c r="I305" t="str">
        <v>[매출/광고] 2026.02 LINE 매출_일본 원천세 10%</v>
      </c>
      <c r="J305">
        <v>0</v>
      </c>
    </row>
    <row r="306" spans="1:10" x14ac:dyDescent="0.3">
      <c r="A306">
        <v>113</v>
      </c>
      <c r="B306" t="str">
        <v>Out of the park Developments GmbH &amp; Co.KG(OOTP)</v>
      </c>
      <c r="C306" s="51">
        <v>46081</v>
      </c>
      <c r="D306" t="str">
        <v>2월</v>
      </c>
      <c r="E306" s="52">
        <v>167976</v>
      </c>
      <c r="F306" t="str">
        <v>게임매출</v>
      </c>
      <c r="G306" t="str">
        <v>OOTP</v>
      </c>
      <c r="H306" t="str">
        <v>OOTP</v>
      </c>
      <c r="I306" t="str">
        <v>02월 / 로열티수익 / 26년 02월  OOTP 구장 로열티 KBO</v>
      </c>
      <c r="J306" t="str">
        <v>← OOTP 관련(추정손익 파일상 기타매출로 분류)</v>
      </c>
    </row>
    <row r="307" spans="1:10" x14ac:dyDescent="0.3">
      <c r="A307">
        <v>114</v>
      </c>
      <c r="B307" t="str">
        <v>Out of the park Developments GmbH &amp; Co.KG(OOTP)</v>
      </c>
      <c r="C307" s="51">
        <v>46081</v>
      </c>
      <c r="D307" t="str">
        <v>2월</v>
      </c>
      <c r="E307" s="52">
        <v>559945</v>
      </c>
      <c r="F307" t="str">
        <v>게임매출</v>
      </c>
      <c r="G307" t="str">
        <v>OOTP</v>
      </c>
      <c r="H307" t="str">
        <v>OOTP</v>
      </c>
      <c r="I307" t="str">
        <v>02월 / 로열티수익 / 26년 02월  OOTP 구장 로열티 MLB</v>
      </c>
      <c r="J307" t="str">
        <v>← OOTP 관련(추정손익 파일상 기타매출로 분류)</v>
      </c>
    </row>
    <row r="308" spans="1:10" x14ac:dyDescent="0.3">
      <c r="A308">
        <v>115</v>
      </c>
      <c r="B308" t="str">
        <v>Red River Digital Technology Development Joint Sto</v>
      </c>
      <c r="C308" s="51">
        <v>46081</v>
      </c>
      <c r="D308" t="str">
        <v>2월</v>
      </c>
      <c r="E308" s="52">
        <v>62213076</v>
      </c>
      <c r="F308" t="str">
        <v>게임매출</v>
      </c>
      <c r="G308" t="str">
        <v>모바일</v>
      </c>
      <c r="H308" t="str">
        <v>Red River</v>
      </c>
      <c r="I308" t="str">
        <v>[매출] 26년 2월 Redriver 서머너즈워 베트남 정산 USD 42,925.7</v>
      </c>
      <c r="J308">
        <v>0</v>
      </c>
    </row>
    <row r="309" spans="1:10" x14ac:dyDescent="0.3">
      <c r="A309">
        <v>116</v>
      </c>
      <c r="B309" t="str">
        <v>(주)밸로프(VALOFE Co., Ltd)</v>
      </c>
      <c r="C309" s="51">
        <v>46081</v>
      </c>
      <c r="D309" t="str">
        <v>2월</v>
      </c>
      <c r="E309" s="52">
        <v>766283</v>
      </c>
      <c r="F309" t="str">
        <v>게임매출</v>
      </c>
      <c r="G309" t="str">
        <v>모바일</v>
      </c>
      <c r="H309" t="str">
        <v>밸로프</v>
      </c>
      <c r="I309" t="str">
        <v>올엠 합병 자산부채 인식_루니아전기 계약금/기간손익 결산분개</v>
      </c>
      <c r="J309">
        <v>0</v>
      </c>
    </row>
    <row r="310" spans="1:10" x14ac:dyDescent="0.3">
      <c r="A310">
        <v>117</v>
      </c>
      <c r="B310" t="str">
        <v>Huawei Services (hong Kong) Co., Limited</v>
      </c>
      <c r="C310" s="51">
        <v>46081</v>
      </c>
      <c r="D310" t="str">
        <v>2월</v>
      </c>
      <c r="E310" s="52">
        <v>979207891</v>
      </c>
      <c r="F310" t="str">
        <v>게임매출</v>
      </c>
      <c r="G310" t="str">
        <v>모바일</v>
      </c>
      <c r="H310" t="str">
        <v>Huawei</v>
      </c>
      <c r="I310" t="str">
        <v>[매출/예상] 2월 화웨이</v>
      </c>
      <c r="J310">
        <v>0</v>
      </c>
    </row>
    <row r="311" spans="1:10" x14ac:dyDescent="0.3">
      <c r="A311">
        <v>118</v>
      </c>
      <c r="B311" t="str">
        <v>Apple Inc.</v>
      </c>
      <c r="C311" s="51">
        <v>46081</v>
      </c>
      <c r="D311" t="str">
        <v>2월</v>
      </c>
      <c r="E311" s="52">
        <v>3530038503</v>
      </c>
      <c r="F311" t="str">
        <v>게임매출</v>
      </c>
      <c r="G311" t="str">
        <v>모바일</v>
      </c>
      <c r="H311" t="str">
        <v>애플</v>
      </c>
      <c r="I311" t="str">
        <v>[매출/예상] 02월 애플 KR</v>
      </c>
      <c r="J311">
        <v>0</v>
      </c>
    </row>
    <row r="312" spans="1:10" x14ac:dyDescent="0.3">
      <c r="A312">
        <v>119</v>
      </c>
      <c r="B312" t="str">
        <v>Apple Inc.</v>
      </c>
      <c r="C312" s="51">
        <v>46081</v>
      </c>
      <c r="D312" t="str">
        <v>2월</v>
      </c>
      <c r="E312" s="52">
        <v>2016568988</v>
      </c>
      <c r="F312" t="str">
        <v>게임매출</v>
      </c>
      <c r="G312" t="str">
        <v>모바일</v>
      </c>
      <c r="H312" t="str">
        <v>애플</v>
      </c>
      <c r="I312" t="str">
        <v>[매출/예상] 02월 애플 JP</v>
      </c>
      <c r="J312">
        <v>0</v>
      </c>
    </row>
    <row r="313" spans="1:10" x14ac:dyDescent="0.3">
      <c r="A313">
        <v>120</v>
      </c>
      <c r="B313" t="str">
        <v>Apple Inc.</v>
      </c>
      <c r="C313" s="51">
        <v>46081</v>
      </c>
      <c r="D313" t="str">
        <v>2월</v>
      </c>
      <c r="E313" s="52">
        <v>11481833706</v>
      </c>
      <c r="F313" t="str">
        <v>게임매출</v>
      </c>
      <c r="G313" t="str">
        <v>모바일</v>
      </c>
      <c r="H313" t="str">
        <v>애플</v>
      </c>
      <c r="I313" t="str">
        <v>[매출/예상] 02월 애플 WW</v>
      </c>
      <c r="J313">
        <v>0</v>
      </c>
    </row>
    <row r="314" spans="1:10" x14ac:dyDescent="0.3">
      <c r="A314">
        <v>121</v>
      </c>
      <c r="B314" t="str">
        <v>Amazon</v>
      </c>
      <c r="C314" s="51">
        <v>46081</v>
      </c>
      <c r="D314" t="str">
        <v>2월</v>
      </c>
      <c r="E314" s="52">
        <v>1147566</v>
      </c>
      <c r="F314" t="str">
        <v>게임매출</v>
      </c>
      <c r="G314" t="str">
        <v>모바일</v>
      </c>
      <c r="H314" t="str">
        <v>Amazon</v>
      </c>
      <c r="I314" t="str">
        <v>[매출/확정] 1월 아마존 EUR</v>
      </c>
      <c r="J314">
        <v>0</v>
      </c>
    </row>
    <row r="315" spans="1:10" x14ac:dyDescent="0.3">
      <c r="A315">
        <v>122</v>
      </c>
      <c r="B315" t="str">
        <v>Amazon</v>
      </c>
      <c r="C315" s="51">
        <v>46081</v>
      </c>
      <c r="D315" t="str">
        <v>2월</v>
      </c>
      <c r="E315" s="52">
        <v>22943</v>
      </c>
      <c r="F315" t="str">
        <v>게임매출</v>
      </c>
      <c r="G315" t="str">
        <v>모바일</v>
      </c>
      <c r="H315" t="str">
        <v>Amazon</v>
      </c>
      <c r="I315" t="str">
        <v>[매출/확정] 1월 아마존 GBP</v>
      </c>
      <c r="J315">
        <v>0</v>
      </c>
    </row>
    <row r="316" spans="1:10" x14ac:dyDescent="0.3">
      <c r="A316">
        <v>123</v>
      </c>
      <c r="B316" t="str">
        <v>Amazon</v>
      </c>
      <c r="C316" s="51">
        <v>46081</v>
      </c>
      <c r="D316" t="str">
        <v>2월</v>
      </c>
      <c r="E316" s="52">
        <v>592333</v>
      </c>
      <c r="F316" t="str">
        <v>게임매출</v>
      </c>
      <c r="G316" t="str">
        <v>모바일</v>
      </c>
      <c r="H316" t="str">
        <v>Amazon</v>
      </c>
      <c r="I316" t="str">
        <v>[매출/확정] 1월 아마존 USD</v>
      </c>
      <c r="J316">
        <v>0</v>
      </c>
    </row>
    <row r="317" spans="1:10" x14ac:dyDescent="0.3">
      <c r="A317">
        <v>124</v>
      </c>
      <c r="B317" t="str">
        <v>Amazon</v>
      </c>
      <c r="C317" s="51">
        <v>46081</v>
      </c>
      <c r="D317" t="str">
        <v>2월</v>
      </c>
      <c r="E317" s="52">
        <v>335437</v>
      </c>
      <c r="F317" t="str">
        <v>게임매출</v>
      </c>
      <c r="G317" t="str">
        <v>모바일</v>
      </c>
      <c r="H317" t="str">
        <v>Amazon</v>
      </c>
      <c r="I317" t="str">
        <v>[매출/확정] 1월 아마존 JPY</v>
      </c>
      <c r="J317">
        <v>0</v>
      </c>
    </row>
    <row r="318" spans="1:10" x14ac:dyDescent="0.3">
      <c r="A318">
        <v>125</v>
      </c>
      <c r="B318" t="str">
        <v>Amazon</v>
      </c>
      <c r="C318" s="51">
        <v>46081</v>
      </c>
      <c r="D318" t="str">
        <v>2월</v>
      </c>
      <c r="E318" s="52">
        <v>1249927</v>
      </c>
      <c r="F318" t="str">
        <v>게임매출</v>
      </c>
      <c r="G318" t="str">
        <v>모바일</v>
      </c>
      <c r="H318" t="str">
        <v>Amazon</v>
      </c>
      <c r="I318" t="str">
        <v>[매출/예상] 2월 아마존 EUR</v>
      </c>
      <c r="J318">
        <v>0</v>
      </c>
    </row>
    <row r="319" spans="1:10" x14ac:dyDescent="0.3">
      <c r="A319">
        <v>126</v>
      </c>
      <c r="B319" t="str">
        <v>Amazon</v>
      </c>
      <c r="C319" s="51">
        <v>46081</v>
      </c>
      <c r="D319" t="str">
        <v>2월</v>
      </c>
      <c r="E319" s="52">
        <v>0</v>
      </c>
      <c r="F319" t="str">
        <v>게임매출</v>
      </c>
      <c r="G319" t="str">
        <v>모바일</v>
      </c>
      <c r="H319" t="str">
        <v>Amazon</v>
      </c>
      <c r="I319" t="str">
        <v>[매출/예상] 2월 아마존 GBP</v>
      </c>
      <c r="J319">
        <v>0</v>
      </c>
    </row>
    <row r="320" spans="1:10" x14ac:dyDescent="0.3">
      <c r="A320">
        <v>127</v>
      </c>
      <c r="B320" t="str">
        <v>Amazon</v>
      </c>
      <c r="C320" s="51">
        <v>46081</v>
      </c>
      <c r="D320" t="str">
        <v>2월</v>
      </c>
      <c r="E320" s="52">
        <v>25058453</v>
      </c>
      <c r="F320" t="str">
        <v>게임매출</v>
      </c>
      <c r="G320" t="str">
        <v>모바일</v>
      </c>
      <c r="H320" t="str">
        <v>Amazon</v>
      </c>
      <c r="I320" t="str">
        <v>[매출/예상] 2월 아마존 USD</v>
      </c>
      <c r="J320">
        <v>0</v>
      </c>
    </row>
    <row r="321" spans="1:10" x14ac:dyDescent="0.3">
      <c r="A321">
        <v>128</v>
      </c>
      <c r="B321" t="str">
        <v>Amazon</v>
      </c>
      <c r="C321" s="51">
        <v>46081</v>
      </c>
      <c r="D321" t="str">
        <v>2월</v>
      </c>
      <c r="E321" s="52">
        <v>2055186</v>
      </c>
      <c r="F321" t="str">
        <v>게임매출</v>
      </c>
      <c r="G321" t="str">
        <v>모바일</v>
      </c>
      <c r="H321" t="str">
        <v>Amazon</v>
      </c>
      <c r="I321" t="str">
        <v>[매출/예상] 2월 아마존 JPY</v>
      </c>
      <c r="J321">
        <v>0</v>
      </c>
    </row>
    <row r="322" spans="1:10" x14ac:dyDescent="0.3">
      <c r="A322">
        <v>129</v>
      </c>
      <c r="B322" t="str">
        <v>개인_ KT olleh 마켓</v>
      </c>
      <c r="C322" s="51">
        <v>46081</v>
      </c>
      <c r="D322" t="str">
        <v>2월</v>
      </c>
      <c r="E322" s="52">
        <v>1344125628</v>
      </c>
      <c r="F322" t="str">
        <v>게임매출</v>
      </c>
      <c r="G322" t="str">
        <v>모바일</v>
      </c>
      <c r="H322" t="str">
        <v>원스토어</v>
      </c>
      <c r="I322" t="str">
        <v>[매출] 2월 원스토어 KT</v>
      </c>
      <c r="J322" t="str">
        <v>← 원스토어</v>
      </c>
    </row>
    <row r="323" spans="1:10" x14ac:dyDescent="0.3">
      <c r="A323">
        <v>130</v>
      </c>
      <c r="B323" t="str">
        <v>개인_LG World</v>
      </c>
      <c r="C323" s="51">
        <v>46081</v>
      </c>
      <c r="D323" t="str">
        <v>2월</v>
      </c>
      <c r="E323" s="52">
        <v>866742420</v>
      </c>
      <c r="F323" t="str">
        <v>게임매출</v>
      </c>
      <c r="G323" t="str">
        <v>모바일</v>
      </c>
      <c r="H323" t="str">
        <v>원스토어</v>
      </c>
      <c r="I323" t="str">
        <v>[매출] 2월 원스토어 LG</v>
      </c>
      <c r="J323" t="str">
        <v>← 원스토어</v>
      </c>
    </row>
    <row r="324" spans="1:10" x14ac:dyDescent="0.3">
      <c r="A324">
        <v>131</v>
      </c>
      <c r="B324" t="str">
        <v>개인_SK T store</v>
      </c>
      <c r="C324" s="51">
        <v>46081</v>
      </c>
      <c r="D324" t="str">
        <v>2월</v>
      </c>
      <c r="E324" s="52">
        <v>2186830292</v>
      </c>
      <c r="F324" t="str">
        <v>게임매출</v>
      </c>
      <c r="G324" t="str">
        <v>모바일</v>
      </c>
      <c r="H324" t="str">
        <v>원스토어</v>
      </c>
      <c r="I324" t="str">
        <v>[매출] 2월 원스토어 SK</v>
      </c>
      <c r="J324" t="str">
        <v>← 원스토어</v>
      </c>
    </row>
    <row r="325" spans="1:10" x14ac:dyDescent="0.3">
      <c r="A325">
        <v>132</v>
      </c>
      <c r="B325" t="str">
        <v>원스토어 주식회사</v>
      </c>
      <c r="C325" s="51">
        <v>46081</v>
      </c>
      <c r="D325" t="str">
        <v>2월</v>
      </c>
      <c r="E325" s="52">
        <v>78262708</v>
      </c>
      <c r="F325" t="str">
        <v>게임매출</v>
      </c>
      <c r="G325" t="str">
        <v>광고</v>
      </c>
      <c r="H325" t="str">
        <v>원스토어(광고)</v>
      </c>
      <c r="I325" t="str">
        <v>[매출] 원스토어 해외 2월 매출_TW</v>
      </c>
      <c r="J325" t="str">
        <v>← 애드엑스플러스 사명 변경 (23.11)</v>
      </c>
    </row>
    <row r="326" spans="1:10" x14ac:dyDescent="0.3">
      <c r="A326">
        <v>133</v>
      </c>
      <c r="B326" t="str">
        <v>원스토어 주식회사</v>
      </c>
      <c r="C326" s="51">
        <v>46081</v>
      </c>
      <c r="D326" t="str">
        <v>2월</v>
      </c>
      <c r="E326" s="52">
        <v>43878003</v>
      </c>
      <c r="F326" t="str">
        <v>게임매출</v>
      </c>
      <c r="G326" t="str">
        <v>광고</v>
      </c>
      <c r="H326" t="str">
        <v>원스토어(광고)</v>
      </c>
      <c r="I326" t="str">
        <v>[매출] 원스토어 해외 2월 매출_USA</v>
      </c>
      <c r="J326" t="str">
        <v>← 애드엑스플러스 사명 변경 (23.11)</v>
      </c>
    </row>
    <row r="327" spans="1:10" x14ac:dyDescent="0.3">
      <c r="A327">
        <v>134</v>
      </c>
      <c r="B327" t="str">
        <v>Valve Corporation</v>
      </c>
      <c r="C327" s="51">
        <v>46081</v>
      </c>
      <c r="D327" t="str">
        <v>2월</v>
      </c>
      <c r="E327" s="52">
        <v>428966</v>
      </c>
      <c r="F327" t="str">
        <v>게임매출</v>
      </c>
      <c r="G327" t="str">
        <v>온라인</v>
      </c>
      <c r="H327" t="str">
        <v>Valve</v>
      </c>
      <c r="I327" t="str">
        <v>[매출/확정] 2월 스팀 매출(1월 누락분)</v>
      </c>
      <c r="J327">
        <v>0</v>
      </c>
    </row>
    <row r="328" spans="1:10" x14ac:dyDescent="0.3">
      <c r="A328">
        <v>135</v>
      </c>
      <c r="B328" t="str">
        <v>Terminal3</v>
      </c>
      <c r="C328" s="51">
        <v>46081</v>
      </c>
      <c r="D328" t="str">
        <v>2월</v>
      </c>
      <c r="E328" s="52">
        <v>5621294</v>
      </c>
      <c r="F328" t="str">
        <v>게임매출</v>
      </c>
      <c r="G328" t="str">
        <v>온라인</v>
      </c>
      <c r="H328" t="str">
        <v>Terminal3</v>
      </c>
      <c r="I328" t="str">
        <v>[매출/온라인] 26년 2월 터미널 3_크리티카 글로벌</v>
      </c>
      <c r="J328">
        <v>0</v>
      </c>
    </row>
    <row r="329" spans="1:10" x14ac:dyDescent="0.3">
      <c r="A329">
        <v>136</v>
      </c>
      <c r="B329" t="str">
        <v>Terminal3</v>
      </c>
      <c r="C329" s="51">
        <v>46081</v>
      </c>
      <c r="D329" t="str">
        <v>2월</v>
      </c>
      <c r="E329" s="52">
        <v>2134207</v>
      </c>
      <c r="F329" t="str">
        <v>게임매출</v>
      </c>
      <c r="G329" t="str">
        <v>온라인</v>
      </c>
      <c r="H329" t="str">
        <v>Terminal3</v>
      </c>
      <c r="I329" t="str">
        <v>[매출/온라인] 26년 2월 터미널3_낚시의 신_WW</v>
      </c>
      <c r="J329">
        <v>0</v>
      </c>
    </row>
    <row r="330" spans="1:10" x14ac:dyDescent="0.3">
      <c r="A330">
        <v>137</v>
      </c>
      <c r="B330" t="str">
        <v>Terminal3</v>
      </c>
      <c r="C330" s="51">
        <v>46081</v>
      </c>
      <c r="D330" t="str">
        <v>2월</v>
      </c>
      <c r="E330" s="52">
        <v>2689</v>
      </c>
      <c r="F330" t="str">
        <v>게임매출</v>
      </c>
      <c r="G330" t="str">
        <v>온라인</v>
      </c>
      <c r="H330" t="str">
        <v>Terminal3</v>
      </c>
      <c r="I330" t="str">
        <v>[매출/온라인] 26년 2월 터미널3_크로니클_JP</v>
      </c>
      <c r="J330">
        <v>0</v>
      </c>
    </row>
    <row r="331" spans="1:10" x14ac:dyDescent="0.3">
      <c r="A331">
        <v>138</v>
      </c>
      <c r="B331" t="str">
        <v>Terminal3</v>
      </c>
      <c r="C331" s="51">
        <v>46081</v>
      </c>
      <c r="D331" t="str">
        <v>2월</v>
      </c>
      <c r="E331" s="52">
        <v>816725</v>
      </c>
      <c r="F331" t="str">
        <v>게임매출</v>
      </c>
      <c r="G331" t="str">
        <v>온라인</v>
      </c>
      <c r="H331" t="str">
        <v>Terminal3</v>
      </c>
      <c r="I331" t="str">
        <v>[매출/온라인] 26년 2월 터미널 3_크로니클 WW</v>
      </c>
      <c r="J331">
        <v>0</v>
      </c>
    </row>
    <row r="332" spans="1:10" x14ac:dyDescent="0.3">
      <c r="A332">
        <v>139</v>
      </c>
      <c r="B332" t="str">
        <v>Terminal3</v>
      </c>
      <c r="C332" s="51">
        <v>46081</v>
      </c>
      <c r="D332" t="str">
        <v>2월</v>
      </c>
      <c r="E332" s="52">
        <v>251092</v>
      </c>
      <c r="F332" t="str">
        <v>게임매출</v>
      </c>
      <c r="G332" t="str">
        <v>온라인</v>
      </c>
      <c r="H332" t="str">
        <v>Terminal3</v>
      </c>
      <c r="I332" t="str">
        <v>[매출/온라인] 26년 2월 터미널3_크리티카 글로벌_가산</v>
      </c>
      <c r="J332">
        <v>0</v>
      </c>
    </row>
    <row r="333" spans="1:10" x14ac:dyDescent="0.3">
      <c r="A333">
        <v>140</v>
      </c>
      <c r="B333" t="str">
        <v>Terminal3</v>
      </c>
      <c r="C333" s="51">
        <v>46081</v>
      </c>
      <c r="D333" t="str">
        <v>2월</v>
      </c>
      <c r="E333" s="52">
        <v>42910</v>
      </c>
      <c r="F333" t="str">
        <v>게임매출</v>
      </c>
      <c r="G333" t="str">
        <v>온라인</v>
      </c>
      <c r="H333" t="str">
        <v>Terminal3</v>
      </c>
      <c r="I333" t="str">
        <v>[매출/온라인] 26년 2월 터미널3_낚시의 신_가산</v>
      </c>
      <c r="J333">
        <v>0</v>
      </c>
    </row>
    <row r="334" spans="1:10" x14ac:dyDescent="0.3">
      <c r="A334">
        <v>141</v>
      </c>
      <c r="B334" t="str">
        <v>Terminal3</v>
      </c>
      <c r="C334" s="51">
        <v>46081</v>
      </c>
      <c r="D334" t="str">
        <v>2월</v>
      </c>
      <c r="E334" s="52">
        <v>4990421</v>
      </c>
      <c r="F334" t="str">
        <v>게임매출</v>
      </c>
      <c r="G334" t="str">
        <v>온라인</v>
      </c>
      <c r="H334" t="str">
        <v>Terminal3</v>
      </c>
      <c r="I334" t="str">
        <v>[매출/온라인] 26년 2월 터미널3_크로니클 WW_가산</v>
      </c>
      <c r="J334">
        <v>0</v>
      </c>
    </row>
    <row r="335" spans="1:10" x14ac:dyDescent="0.3">
      <c r="A335">
        <v>142</v>
      </c>
      <c r="B335" t="str">
        <v>Valve Corporation</v>
      </c>
      <c r="C335" s="51">
        <v>46081</v>
      </c>
      <c r="D335" t="str">
        <v>2월</v>
      </c>
      <c r="E335" s="52">
        <v>1434478062</v>
      </c>
      <c r="F335" t="str">
        <v>게임매출</v>
      </c>
      <c r="G335" t="str">
        <v>온라인</v>
      </c>
      <c r="H335" t="str">
        <v>Valve</v>
      </c>
      <c r="I335" t="str">
        <v>[매출/확정] 2월 스팀 매출</v>
      </c>
      <c r="J335">
        <v>0</v>
      </c>
    </row>
    <row r="336" spans="1:10" x14ac:dyDescent="0.3">
      <c r="A336">
        <v>147</v>
      </c>
      <c r="B336" t="str">
        <v>(주)비바리퍼블리카</v>
      </c>
      <c r="C336" s="51">
        <v>46081</v>
      </c>
      <c r="D336" t="str">
        <v>2월</v>
      </c>
      <c r="E336" s="52">
        <v>225000</v>
      </c>
      <c r="F336" t="str">
        <v>게임매출</v>
      </c>
      <c r="G336" t="str">
        <v>모바일</v>
      </c>
      <c r="H336" t="str">
        <v>비바리퍼블리카</v>
      </c>
      <c r="I336" t="str">
        <v>[매출/온라인] 26.2월 비바리퍼블리카 매출</v>
      </c>
      <c r="J336">
        <v>0</v>
      </c>
    </row>
    <row r="337" spans="1:10" x14ac:dyDescent="0.3">
      <c r="A337">
        <v>150</v>
      </c>
      <c r="B337" t="str">
        <v>GOOGLE, INC.</v>
      </c>
      <c r="C337" s="51">
        <v>46112</v>
      </c>
      <c r="D337" t="str">
        <v>3월</v>
      </c>
      <c r="E337" s="52">
        <v>-5848813015</v>
      </c>
      <c r="F337" t="str">
        <v>게임매출</v>
      </c>
      <c r="G337" t="str">
        <v>모바일</v>
      </c>
      <c r="H337" t="str">
        <v>구글</v>
      </c>
      <c r="I337" t="str">
        <v>[매출/예상] 02월 구글 KR / 역분개</v>
      </c>
      <c r="J337">
        <v>0</v>
      </c>
    </row>
    <row r="338" spans="1:10" x14ac:dyDescent="0.3">
      <c r="A338">
        <v>151</v>
      </c>
      <c r="B338" t="str">
        <v>GOOGLE, INC.</v>
      </c>
      <c r="C338" s="51">
        <v>46112</v>
      </c>
      <c r="D338" t="str">
        <v>3월</v>
      </c>
      <c r="E338" s="52">
        <v>-793888706</v>
      </c>
      <c r="F338" t="str">
        <v>게임매출</v>
      </c>
      <c r="G338" t="str">
        <v>모바일</v>
      </c>
      <c r="H338" t="str">
        <v>구글</v>
      </c>
      <c r="I338" t="str">
        <v>[매출/예상] 02월 구글 JP / 역분개</v>
      </c>
      <c r="J338">
        <v>0</v>
      </c>
    </row>
    <row r="339" spans="1:10" x14ac:dyDescent="0.3">
      <c r="A339">
        <v>152</v>
      </c>
      <c r="B339" t="str">
        <v>GOOGLE, INC.</v>
      </c>
      <c r="C339" s="51">
        <v>46112</v>
      </c>
      <c r="D339" t="str">
        <v>3월</v>
      </c>
      <c r="E339" s="52">
        <v>-7240800982</v>
      </c>
      <c r="F339" t="str">
        <v>게임매출</v>
      </c>
      <c r="G339" t="str">
        <v>모바일</v>
      </c>
      <c r="H339" t="str">
        <v>구글</v>
      </c>
      <c r="I339" t="str">
        <v>[매출/예상] 02월 구글 WW / 역분개</v>
      </c>
      <c r="J339">
        <v>0</v>
      </c>
    </row>
    <row r="340" spans="1:10" x14ac:dyDescent="0.3">
      <c r="A340">
        <v>153</v>
      </c>
      <c r="B340" t="str">
        <v>Huawei Services (hong Kong) Co., Limited</v>
      </c>
      <c r="C340" s="51">
        <v>46112</v>
      </c>
      <c r="D340" t="str">
        <v>3월</v>
      </c>
      <c r="E340" s="52">
        <v>-979207891</v>
      </c>
      <c r="F340" t="str">
        <v>게임매출</v>
      </c>
      <c r="G340" t="str">
        <v>모바일</v>
      </c>
      <c r="H340" t="str">
        <v>Huawei</v>
      </c>
      <c r="I340" t="str">
        <v>[매출/예상] 2월 화웨이 / 역분개</v>
      </c>
      <c r="J340">
        <v>0</v>
      </c>
    </row>
    <row r="341" spans="1:10" x14ac:dyDescent="0.3">
      <c r="A341">
        <v>154</v>
      </c>
      <c r="B341" t="str">
        <v>Apple Inc.</v>
      </c>
      <c r="C341" s="51">
        <v>46112</v>
      </c>
      <c r="D341" t="str">
        <v>3월</v>
      </c>
      <c r="E341" s="52">
        <v>-3530038503</v>
      </c>
      <c r="F341" t="str">
        <v>게임매출</v>
      </c>
      <c r="G341" t="str">
        <v>모바일</v>
      </c>
      <c r="H341" t="str">
        <v>애플</v>
      </c>
      <c r="I341" t="str">
        <v>[매출/예상] 02월 애플 KR / 역분개</v>
      </c>
      <c r="J341">
        <v>0</v>
      </c>
    </row>
    <row r="342" spans="1:10" x14ac:dyDescent="0.3">
      <c r="A342">
        <v>155</v>
      </c>
      <c r="B342" t="str">
        <v>Apple Inc.</v>
      </c>
      <c r="C342" s="51">
        <v>46112</v>
      </c>
      <c r="D342" t="str">
        <v>3월</v>
      </c>
      <c r="E342" s="52">
        <v>-2016568988</v>
      </c>
      <c r="F342" t="str">
        <v>게임매출</v>
      </c>
      <c r="G342" t="str">
        <v>모바일</v>
      </c>
      <c r="H342" t="str">
        <v>애플</v>
      </c>
      <c r="I342" t="str">
        <v>[매출/예상] 02월 애플 JP / 역분개</v>
      </c>
      <c r="J342">
        <v>0</v>
      </c>
    </row>
    <row r="343" spans="1:10" x14ac:dyDescent="0.3">
      <c r="A343">
        <v>156</v>
      </c>
      <c r="B343" t="str">
        <v>Apple Inc.</v>
      </c>
      <c r="C343" s="51">
        <v>46112</v>
      </c>
      <c r="D343" t="str">
        <v>3월</v>
      </c>
      <c r="E343" s="52">
        <v>-11481833706</v>
      </c>
      <c r="F343" t="str">
        <v>게임매출</v>
      </c>
      <c r="G343" t="str">
        <v>모바일</v>
      </c>
      <c r="H343" t="str">
        <v>애플</v>
      </c>
      <c r="I343" t="str">
        <v>[매출/예상] 02월 애플 WW / 역분개</v>
      </c>
      <c r="J343">
        <v>0</v>
      </c>
    </row>
    <row r="344" spans="1:10" x14ac:dyDescent="0.3">
      <c r="A344">
        <v>157</v>
      </c>
      <c r="B344" t="str">
        <v>Amazon</v>
      </c>
      <c r="C344" s="51">
        <v>46112</v>
      </c>
      <c r="D344" t="str">
        <v>3월</v>
      </c>
      <c r="E344" s="52">
        <v>-1249927</v>
      </c>
      <c r="F344" t="str">
        <v>게임매출</v>
      </c>
      <c r="G344" t="str">
        <v>모바일</v>
      </c>
      <c r="H344" t="str">
        <v>Amazon</v>
      </c>
      <c r="I344" t="str">
        <v>[매출/예상] 2월 아마존 EUR / 역분개</v>
      </c>
      <c r="J344">
        <v>0</v>
      </c>
    </row>
    <row r="345" spans="1:10" x14ac:dyDescent="0.3">
      <c r="A345">
        <v>158</v>
      </c>
      <c r="B345" t="str">
        <v>Amazon</v>
      </c>
      <c r="C345" s="51">
        <v>46112</v>
      </c>
      <c r="D345" t="str">
        <v>3월</v>
      </c>
      <c r="E345" s="52">
        <v>0</v>
      </c>
      <c r="F345" t="str">
        <v>게임매출</v>
      </c>
      <c r="G345" t="str">
        <v>모바일</v>
      </c>
      <c r="H345" t="str">
        <v>Amazon</v>
      </c>
      <c r="I345" t="str">
        <v>[매출/예상] 2월 아마존 GBP / 역분개</v>
      </c>
      <c r="J345">
        <v>0</v>
      </c>
    </row>
    <row r="346" spans="1:10" x14ac:dyDescent="0.3">
      <c r="A346">
        <v>159</v>
      </c>
      <c r="B346" t="str">
        <v>Amazon</v>
      </c>
      <c r="C346" s="51">
        <v>46112</v>
      </c>
      <c r="D346" t="str">
        <v>3월</v>
      </c>
      <c r="E346" s="52">
        <v>-25058453</v>
      </c>
      <c r="F346" t="str">
        <v>게임매출</v>
      </c>
      <c r="G346" t="str">
        <v>모바일</v>
      </c>
      <c r="H346" t="str">
        <v>Amazon</v>
      </c>
      <c r="I346" t="str">
        <v>[매출/예상] 2월 아마존 USD / 역분개</v>
      </c>
      <c r="J346">
        <v>0</v>
      </c>
    </row>
    <row r="347" spans="1:10" x14ac:dyDescent="0.3">
      <c r="A347">
        <v>160</v>
      </c>
      <c r="B347" t="str">
        <v>Amazon</v>
      </c>
      <c r="C347" s="51">
        <v>46112</v>
      </c>
      <c r="D347" t="str">
        <v>3월</v>
      </c>
      <c r="E347" s="52">
        <v>-2055186</v>
      </c>
      <c r="F347" t="str">
        <v>게임매출</v>
      </c>
      <c r="G347" t="str">
        <v>모바일</v>
      </c>
      <c r="H347" t="str">
        <v>Amazon</v>
      </c>
      <c r="I347" t="str">
        <v>[매출/예상] 2월 아마존 JPY / 역분개</v>
      </c>
      <c r="J347">
        <v>0</v>
      </c>
    </row>
    <row r="348" spans="1:10" x14ac:dyDescent="0.3">
      <c r="A348">
        <v>161</v>
      </c>
      <c r="B348" t="str">
        <v>Valve Corporation</v>
      </c>
      <c r="C348" s="51">
        <v>46112</v>
      </c>
      <c r="D348" t="str">
        <v>3월</v>
      </c>
      <c r="E348" s="52">
        <v>1229971944</v>
      </c>
      <c r="F348" t="str">
        <v>게임매출</v>
      </c>
      <c r="G348" t="str">
        <v>온라인</v>
      </c>
      <c r="H348" t="str">
        <v>Valve</v>
      </c>
      <c r="I348" t="str">
        <v>[매출/확정] 3월 스팀 매출</v>
      </c>
      <c r="J348">
        <v>0</v>
      </c>
    </row>
    <row r="349" spans="1:10" x14ac:dyDescent="0.3">
      <c r="A349">
        <v>162</v>
      </c>
      <c r="B349" t="str">
        <v>Apple Inc.</v>
      </c>
      <c r="C349" s="51">
        <v>46112</v>
      </c>
      <c r="D349" t="str">
        <v>3월</v>
      </c>
      <c r="E349" s="52">
        <v>3527444583</v>
      </c>
      <c r="F349" t="str">
        <v>게임매출</v>
      </c>
      <c r="G349" t="str">
        <v>모바일</v>
      </c>
      <c r="H349" t="str">
        <v>애플</v>
      </c>
      <c r="I349" t="str">
        <v>[매출/확정] 2월 애플 KR</v>
      </c>
      <c r="J349">
        <v>0</v>
      </c>
    </row>
    <row r="350" spans="1:10" x14ac:dyDescent="0.3">
      <c r="A350">
        <v>163</v>
      </c>
      <c r="B350" t="str">
        <v>Apple Inc.</v>
      </c>
      <c r="C350" s="51">
        <v>46112</v>
      </c>
      <c r="D350" t="str">
        <v>3월</v>
      </c>
      <c r="E350" s="52">
        <v>2017887144</v>
      </c>
      <c r="F350" t="str">
        <v>게임매출</v>
      </c>
      <c r="G350" t="str">
        <v>모바일</v>
      </c>
      <c r="H350" t="str">
        <v>애플</v>
      </c>
      <c r="I350" t="str">
        <v>[매출/확정] 2월 애플 JP</v>
      </c>
      <c r="J350">
        <v>0</v>
      </c>
    </row>
    <row r="351" spans="1:10" x14ac:dyDescent="0.3">
      <c r="A351">
        <v>164</v>
      </c>
      <c r="B351" t="str">
        <v>Apple Inc.</v>
      </c>
      <c r="C351" s="51">
        <v>46112</v>
      </c>
      <c r="D351" t="str">
        <v>3월</v>
      </c>
      <c r="E351" s="52">
        <v>11508557004</v>
      </c>
      <c r="F351" t="str">
        <v>게임매출</v>
      </c>
      <c r="G351" t="str">
        <v>모바일</v>
      </c>
      <c r="H351" t="str">
        <v>애플</v>
      </c>
      <c r="I351" t="str">
        <v>[매출/확정] 2월 애플 WW</v>
      </c>
      <c r="J351">
        <v>0</v>
      </c>
    </row>
    <row r="352" spans="1:10" x14ac:dyDescent="0.3">
      <c r="A352">
        <v>165</v>
      </c>
      <c r="B352" t="str">
        <v>Amazon</v>
      </c>
      <c r="C352" s="51">
        <v>46112</v>
      </c>
      <c r="D352" t="str">
        <v>3월</v>
      </c>
      <c r="E352" s="52">
        <v>1249756</v>
      </c>
      <c r="F352" t="str">
        <v>게임매출</v>
      </c>
      <c r="G352" t="str">
        <v>모바일</v>
      </c>
      <c r="H352" t="str">
        <v>Amazon</v>
      </c>
      <c r="I352" t="str">
        <v>[매출/확정] 02월 아마존 EUR</v>
      </c>
      <c r="J352">
        <v>0</v>
      </c>
    </row>
    <row r="353" spans="1:10" x14ac:dyDescent="0.3">
      <c r="A353">
        <v>166</v>
      </c>
      <c r="B353" t="str">
        <v>Amazon</v>
      </c>
      <c r="C353" s="51">
        <v>46112</v>
      </c>
      <c r="D353" t="str">
        <v>3월</v>
      </c>
      <c r="E353" s="52">
        <v>0</v>
      </c>
      <c r="F353" t="str">
        <v>게임매출</v>
      </c>
      <c r="G353" t="str">
        <v>모바일</v>
      </c>
      <c r="H353" t="str">
        <v>Amazon</v>
      </c>
      <c r="I353" t="str">
        <v>[매출/확정] 02월 아마존 GBP</v>
      </c>
      <c r="J353">
        <v>0</v>
      </c>
    </row>
    <row r="354" spans="1:10" x14ac:dyDescent="0.3">
      <c r="A354">
        <v>167</v>
      </c>
      <c r="B354" t="str">
        <v>Amazon</v>
      </c>
      <c r="C354" s="51">
        <v>46112</v>
      </c>
      <c r="D354" t="str">
        <v>3월</v>
      </c>
      <c r="E354" s="52">
        <v>25057240</v>
      </c>
      <c r="F354" t="str">
        <v>게임매출</v>
      </c>
      <c r="G354" t="str">
        <v>모바일</v>
      </c>
      <c r="H354" t="str">
        <v>Amazon</v>
      </c>
      <c r="I354" t="str">
        <v>[매출/확정] 02월 아마존 USD</v>
      </c>
      <c r="J354">
        <v>0</v>
      </c>
    </row>
    <row r="355" spans="1:10" x14ac:dyDescent="0.3">
      <c r="A355">
        <v>168</v>
      </c>
      <c r="B355" t="str">
        <v>Amazon</v>
      </c>
      <c r="C355" s="51">
        <v>46112</v>
      </c>
      <c r="D355" t="str">
        <v>3월</v>
      </c>
      <c r="E355" s="52">
        <v>2055199</v>
      </c>
      <c r="F355" t="str">
        <v>게임매출</v>
      </c>
      <c r="G355" t="str">
        <v>모바일</v>
      </c>
      <c r="H355" t="str">
        <v>Amazon</v>
      </c>
      <c r="I355" t="str">
        <v>[매출/확정] 02월 아마존 JPY</v>
      </c>
      <c r="J355">
        <v>0</v>
      </c>
    </row>
    <row r="356" spans="1:10" x14ac:dyDescent="0.3">
      <c r="A356">
        <v>169</v>
      </c>
      <c r="B356" t="str">
        <v>Apple Inc.</v>
      </c>
      <c r="C356" s="51">
        <v>46112</v>
      </c>
      <c r="D356" t="str">
        <v>3월</v>
      </c>
      <c r="E356" s="52">
        <v>3678979351</v>
      </c>
      <c r="F356" t="str">
        <v>게임매출</v>
      </c>
      <c r="G356" t="str">
        <v>모바일</v>
      </c>
      <c r="H356" t="str">
        <v>애플</v>
      </c>
      <c r="I356" t="str">
        <v>[매출/예상] 03월 애플 KR</v>
      </c>
      <c r="J356">
        <v>0</v>
      </c>
    </row>
    <row r="357" spans="1:10" x14ac:dyDescent="0.3">
      <c r="A357">
        <v>170</v>
      </c>
      <c r="B357" t="str">
        <v>Apple Inc.</v>
      </c>
      <c r="C357" s="51">
        <v>46112</v>
      </c>
      <c r="D357" t="str">
        <v>3월</v>
      </c>
      <c r="E357" s="52">
        <v>2290069380</v>
      </c>
      <c r="F357" t="str">
        <v>게임매출</v>
      </c>
      <c r="G357" t="str">
        <v>모바일</v>
      </c>
      <c r="H357" t="str">
        <v>애플</v>
      </c>
      <c r="I357" t="str">
        <v>[매출/예상] 03월 애플 JP</v>
      </c>
      <c r="J357">
        <v>0</v>
      </c>
    </row>
    <row r="358" spans="1:10" x14ac:dyDescent="0.3">
      <c r="A358">
        <v>171</v>
      </c>
      <c r="B358" t="str">
        <v>Apple Inc.</v>
      </c>
      <c r="C358" s="51">
        <v>46112</v>
      </c>
      <c r="D358" t="str">
        <v>3월</v>
      </c>
      <c r="E358" s="52">
        <v>11722815185</v>
      </c>
      <c r="F358" t="str">
        <v>게임매출</v>
      </c>
      <c r="G358" t="str">
        <v>모바일</v>
      </c>
      <c r="H358" t="str">
        <v>애플</v>
      </c>
      <c r="I358" t="str">
        <v>[매출/예상] 03월 애플 WW</v>
      </c>
      <c r="J358">
        <v>0</v>
      </c>
    </row>
    <row r="359" spans="1:10" x14ac:dyDescent="0.3">
      <c r="A359">
        <v>172</v>
      </c>
      <c r="B359" t="str">
        <v>Huawei Services (hong Kong) Co., Limited</v>
      </c>
      <c r="C359" s="51">
        <v>46112</v>
      </c>
      <c r="D359" t="str">
        <v>3월</v>
      </c>
      <c r="E359" s="52">
        <v>1010274739</v>
      </c>
      <c r="F359" t="str">
        <v>게임매출</v>
      </c>
      <c r="G359" t="str">
        <v>모바일</v>
      </c>
      <c r="H359" t="str">
        <v>Huawei</v>
      </c>
      <c r="I359" t="str">
        <v>[매출/확정] 02월 화웨이</v>
      </c>
      <c r="J359">
        <v>0</v>
      </c>
    </row>
    <row r="360" spans="1:10" x14ac:dyDescent="0.3">
      <c r="A360">
        <v>173</v>
      </c>
      <c r="B360" t="str">
        <v>개인_ KT olleh 마켓</v>
      </c>
      <c r="C360" s="51">
        <v>46112</v>
      </c>
      <c r="D360" t="str">
        <v>3월</v>
      </c>
      <c r="E360" s="52">
        <v>1334451398</v>
      </c>
      <c r="F360" t="str">
        <v>게임매출</v>
      </c>
      <c r="G360" t="str">
        <v>모바일</v>
      </c>
      <c r="H360" t="str">
        <v>원스토어</v>
      </c>
      <c r="I360" t="str">
        <v>[매출] 3월 원스토어 KT</v>
      </c>
      <c r="J360" t="str">
        <v>← 원스토어</v>
      </c>
    </row>
    <row r="361" spans="1:10" x14ac:dyDescent="0.3">
      <c r="A361">
        <v>174</v>
      </c>
      <c r="B361" t="str">
        <v>개인_LG World</v>
      </c>
      <c r="C361" s="51">
        <v>46112</v>
      </c>
      <c r="D361" t="str">
        <v>3월</v>
      </c>
      <c r="E361" s="52">
        <v>878318194</v>
      </c>
      <c r="F361" t="str">
        <v>게임매출</v>
      </c>
      <c r="G361" t="str">
        <v>모바일</v>
      </c>
      <c r="H361" t="str">
        <v>원스토어</v>
      </c>
      <c r="I361" t="str">
        <v>[매출] 3월 원스토어 LG</v>
      </c>
      <c r="J361" t="str">
        <v>← 원스토어</v>
      </c>
    </row>
    <row r="362" spans="1:10" x14ac:dyDescent="0.3">
      <c r="A362">
        <v>175</v>
      </c>
      <c r="B362" t="str">
        <v>개인_SK T store</v>
      </c>
      <c r="C362" s="51">
        <v>46112</v>
      </c>
      <c r="D362" t="str">
        <v>3월</v>
      </c>
      <c r="E362" s="52">
        <v>2096292195</v>
      </c>
      <c r="F362" t="str">
        <v>게임매출</v>
      </c>
      <c r="G362" t="str">
        <v>모바일</v>
      </c>
      <c r="H362" t="str">
        <v>원스토어</v>
      </c>
      <c r="I362" t="str">
        <v>[매출] 3월 원스토어 SK</v>
      </c>
      <c r="J362" t="str">
        <v>← 원스토어</v>
      </c>
    </row>
    <row r="363" spans="1:10" x14ac:dyDescent="0.3">
      <c r="A363">
        <v>176</v>
      </c>
      <c r="B363" t="str">
        <v>Huawei Services (hong Kong) Co., Limited</v>
      </c>
      <c r="C363" s="51">
        <v>46112</v>
      </c>
      <c r="D363" t="str">
        <v>3월</v>
      </c>
      <c r="E363" s="52">
        <v>861867208</v>
      </c>
      <c r="F363" t="str">
        <v>게임매출</v>
      </c>
      <c r="G363" t="str">
        <v>모바일</v>
      </c>
      <c r="H363" t="str">
        <v>Huawei</v>
      </c>
      <c r="I363" t="str">
        <v>[매출/예상] 3월 화웨이</v>
      </c>
      <c r="J363">
        <v>0</v>
      </c>
    </row>
    <row r="364" spans="1:10" x14ac:dyDescent="0.3">
      <c r="A364">
        <v>177</v>
      </c>
      <c r="B364" t="str">
        <v>GOOGLE, INC.</v>
      </c>
      <c r="C364" s="51">
        <v>46112</v>
      </c>
      <c r="D364" t="str">
        <v>3월</v>
      </c>
      <c r="E364" s="52">
        <v>5929740705</v>
      </c>
      <c r="F364" t="str">
        <v>게임매출</v>
      </c>
      <c r="G364" t="str">
        <v>모바일</v>
      </c>
      <c r="H364" t="str">
        <v>구글</v>
      </c>
      <c r="I364" t="str">
        <v>[매출/확정] 2월 구글 KR</v>
      </c>
      <c r="J364">
        <v>0</v>
      </c>
    </row>
    <row r="365" spans="1:10" x14ac:dyDescent="0.3">
      <c r="A365">
        <v>178</v>
      </c>
      <c r="B365" t="str">
        <v>GOOGLE, INC.</v>
      </c>
      <c r="C365" s="51">
        <v>46112</v>
      </c>
      <c r="D365" t="str">
        <v>3월</v>
      </c>
      <c r="E365" s="52">
        <v>803760884</v>
      </c>
      <c r="F365" t="str">
        <v>게임매출</v>
      </c>
      <c r="G365" t="str">
        <v>모바일</v>
      </c>
      <c r="H365" t="str">
        <v>구글</v>
      </c>
      <c r="I365" t="str">
        <v>[매출/확정] 2월 구글 JP</v>
      </c>
      <c r="J365">
        <v>0</v>
      </c>
    </row>
    <row r="366" spans="1:10" x14ac:dyDescent="0.3">
      <c r="A366">
        <v>179</v>
      </c>
      <c r="B366" t="str">
        <v>GOOGLE, INC.</v>
      </c>
      <c r="C366" s="51">
        <v>46112</v>
      </c>
      <c r="D366" t="str">
        <v>3월</v>
      </c>
      <c r="E366" s="52">
        <v>7351160427</v>
      </c>
      <c r="F366" t="str">
        <v>게임매출</v>
      </c>
      <c r="G366" t="str">
        <v>모바일</v>
      </c>
      <c r="H366" t="str">
        <v>구글</v>
      </c>
      <c r="I366" t="str">
        <v>[매출/확정] 2월 구글 WW</v>
      </c>
      <c r="J366">
        <v>0</v>
      </c>
    </row>
    <row r="367" spans="1:10" x14ac:dyDescent="0.3">
      <c r="A367">
        <v>180</v>
      </c>
      <c r="B367" t="str">
        <v>GOOGLE, INC.</v>
      </c>
      <c r="C367" s="51">
        <v>46112</v>
      </c>
      <c r="D367" t="str">
        <v>3월</v>
      </c>
      <c r="E367" s="52">
        <v>5899015255</v>
      </c>
      <c r="F367" t="str">
        <v>게임매출</v>
      </c>
      <c r="G367" t="str">
        <v>모바일</v>
      </c>
      <c r="H367" t="str">
        <v>구글</v>
      </c>
      <c r="I367" t="str">
        <v>[매출/예상] 03월 구글 KR</v>
      </c>
      <c r="J367">
        <v>0</v>
      </c>
    </row>
    <row r="368" spans="1:10" x14ac:dyDescent="0.3">
      <c r="A368">
        <v>181</v>
      </c>
      <c r="B368" t="str">
        <v>GOOGLE, INC.</v>
      </c>
      <c r="C368" s="51">
        <v>46112</v>
      </c>
      <c r="D368" t="str">
        <v>3월</v>
      </c>
      <c r="E368" s="52">
        <v>920847785</v>
      </c>
      <c r="F368" t="str">
        <v>게임매출</v>
      </c>
      <c r="G368" t="str">
        <v>모바일</v>
      </c>
      <c r="H368" t="str">
        <v>구글</v>
      </c>
      <c r="I368" t="str">
        <v>[매출/예상] 03월 구글 JP</v>
      </c>
      <c r="J368">
        <v>0</v>
      </c>
    </row>
    <row r="369" spans="1:10" x14ac:dyDescent="0.3">
      <c r="A369">
        <v>182</v>
      </c>
      <c r="B369" t="str">
        <v>GOOGLE, INC.</v>
      </c>
      <c r="C369" s="51">
        <v>46112</v>
      </c>
      <c r="D369" t="str">
        <v>3월</v>
      </c>
      <c r="E369" s="52">
        <v>6711578146</v>
      </c>
      <c r="F369" t="str">
        <v>게임매출</v>
      </c>
      <c r="G369" t="str">
        <v>모바일</v>
      </c>
      <c r="H369" t="str">
        <v>구글</v>
      </c>
      <c r="I369" t="str">
        <v>[매출/예상] 03월 구글 WW</v>
      </c>
      <c r="J369">
        <v>0</v>
      </c>
    </row>
    <row r="370" spans="1:10" x14ac:dyDescent="0.3">
      <c r="A370">
        <v>183</v>
      </c>
      <c r="B370" t="str">
        <v>Amazon</v>
      </c>
      <c r="C370" s="51">
        <v>46112</v>
      </c>
      <c r="D370" t="str">
        <v>3월</v>
      </c>
      <c r="E370" s="52">
        <v>752014</v>
      </c>
      <c r="F370" t="str">
        <v>게임매출</v>
      </c>
      <c r="G370" t="str">
        <v>모바일</v>
      </c>
      <c r="H370" t="str">
        <v>Amazon</v>
      </c>
      <c r="I370" t="str">
        <v>[매출/예상] 3월 아마존 EUR</v>
      </c>
      <c r="J370">
        <v>0</v>
      </c>
    </row>
    <row r="371" spans="1:10" x14ac:dyDescent="0.3">
      <c r="A371">
        <v>184</v>
      </c>
      <c r="B371" t="str">
        <v>Amazon</v>
      </c>
      <c r="C371" s="51">
        <v>46112</v>
      </c>
      <c r="D371" t="str">
        <v>3월</v>
      </c>
      <c r="E371" s="52">
        <v>29702</v>
      </c>
      <c r="F371" t="str">
        <v>게임매출</v>
      </c>
      <c r="G371" t="str">
        <v>모바일</v>
      </c>
      <c r="H371" t="str">
        <v>Amazon</v>
      </c>
      <c r="I371" t="str">
        <v>[매출/예상] 3월 아마존 GBP</v>
      </c>
      <c r="J371">
        <v>0</v>
      </c>
    </row>
    <row r="372" spans="1:10" x14ac:dyDescent="0.3">
      <c r="A372">
        <v>185</v>
      </c>
      <c r="B372" t="str">
        <v>Amazon</v>
      </c>
      <c r="C372" s="51">
        <v>46112</v>
      </c>
      <c r="D372" t="str">
        <v>3월</v>
      </c>
      <c r="E372" s="52">
        <v>22863185</v>
      </c>
      <c r="F372" t="str">
        <v>게임매출</v>
      </c>
      <c r="G372" t="str">
        <v>모바일</v>
      </c>
      <c r="H372" t="str">
        <v>Amazon</v>
      </c>
      <c r="I372" t="str">
        <v>[매출/예상] 3월 아마존 USD</v>
      </c>
      <c r="J372">
        <v>0</v>
      </c>
    </row>
    <row r="373" spans="1:10" x14ac:dyDescent="0.3">
      <c r="A373">
        <v>186</v>
      </c>
      <c r="B373" t="str">
        <v>Amazon</v>
      </c>
      <c r="C373" s="51">
        <v>46112</v>
      </c>
      <c r="D373" t="str">
        <v>3월</v>
      </c>
      <c r="E373" s="52">
        <v>688570</v>
      </c>
      <c r="F373" t="str">
        <v>게임매출</v>
      </c>
      <c r="G373" t="str">
        <v>모바일</v>
      </c>
      <c r="H373" t="str">
        <v>Amazon</v>
      </c>
      <c r="I373" t="str">
        <v>[매출/예상] 3월 아마존 JPY</v>
      </c>
      <c r="J373">
        <v>0</v>
      </c>
    </row>
    <row r="374" spans="1:10" x14ac:dyDescent="0.3">
      <c r="A374">
        <v>187</v>
      </c>
      <c r="B374" t="str">
        <v>원스토어 주식회사</v>
      </c>
      <c r="C374" s="51">
        <v>46112</v>
      </c>
      <c r="D374" t="str">
        <v>3월</v>
      </c>
      <c r="E374" s="52">
        <v>115220202</v>
      </c>
      <c r="F374" t="str">
        <v>게임매출</v>
      </c>
      <c r="G374" t="str">
        <v>광고</v>
      </c>
      <c r="H374" t="str">
        <v>원스토어(광고)</v>
      </c>
      <c r="I374" t="str">
        <v>[매출] 원스토어 해외 3월 매출_TW</v>
      </c>
      <c r="J374" t="str">
        <v>← 애드엑스플러스 사명 변경 (23.11)</v>
      </c>
    </row>
    <row r="375" spans="1:10" x14ac:dyDescent="0.3">
      <c r="A375">
        <v>188</v>
      </c>
      <c r="B375" t="str">
        <v>원스토어 주식회사</v>
      </c>
      <c r="C375" s="51">
        <v>46112</v>
      </c>
      <c r="D375" t="str">
        <v>3월</v>
      </c>
      <c r="E375" s="52">
        <v>71885570</v>
      </c>
      <c r="F375" t="str">
        <v>게임매출</v>
      </c>
      <c r="G375" t="str">
        <v>광고</v>
      </c>
      <c r="H375" t="str">
        <v>원스토어(광고)</v>
      </c>
      <c r="I375" t="str">
        <v>[매출] 원스토어 해외 3월 매출_USA</v>
      </c>
      <c r="J375" t="str">
        <v>← 애드엑스플러스 사명 변경 (23.11)</v>
      </c>
    </row>
    <row r="376" spans="1:10" x14ac:dyDescent="0.3">
      <c r="A376">
        <v>189</v>
      </c>
      <c r="B376" t="str">
        <v>엔에이치엔한국사이버결제 주식회사</v>
      </c>
      <c r="C376" s="51">
        <v>46112</v>
      </c>
      <c r="D376" t="str">
        <v>3월</v>
      </c>
      <c r="E376" s="52">
        <v>97066819</v>
      </c>
      <c r="F376" t="str">
        <v>게임매출</v>
      </c>
      <c r="G376" t="str">
        <v>온라인</v>
      </c>
      <c r="H376" t="str">
        <v>NHN</v>
      </c>
      <c r="I376" t="str">
        <v>[매출/온라인] 26년 3월 KCP_컴프야</v>
      </c>
      <c r="J376">
        <v>0</v>
      </c>
    </row>
    <row r="377" spans="1:10" x14ac:dyDescent="0.3">
      <c r="A377">
        <v>190</v>
      </c>
      <c r="B377" t="str">
        <v>엔에이치엔한국사이버결제 주식회사</v>
      </c>
      <c r="C377" s="51">
        <v>46112</v>
      </c>
      <c r="D377" t="str">
        <v>3월</v>
      </c>
      <c r="E377" s="52">
        <v>522094546</v>
      </c>
      <c r="F377" t="str">
        <v>게임매출</v>
      </c>
      <c r="G377" t="str">
        <v>온라인</v>
      </c>
      <c r="H377" t="str">
        <v>NHN</v>
      </c>
      <c r="I377" t="str">
        <v>[매출/온라인] 26년 3월 KCP_컴프야V (웹)</v>
      </c>
      <c r="J377">
        <v>0</v>
      </c>
    </row>
    <row r="378" spans="1:10" x14ac:dyDescent="0.3">
      <c r="A378">
        <v>191</v>
      </c>
      <c r="B378" t="str">
        <v>엔에이치엔한국사이버결제 주식회사</v>
      </c>
      <c r="C378" s="51">
        <v>46112</v>
      </c>
      <c r="D378" t="str">
        <v>3월</v>
      </c>
      <c r="E378" s="52">
        <v>129868182</v>
      </c>
      <c r="F378" t="str">
        <v>게임매출</v>
      </c>
      <c r="G378" t="str">
        <v>온라인</v>
      </c>
      <c r="H378" t="str">
        <v>NHN</v>
      </c>
      <c r="I378" t="str">
        <v>[매출/온라인] 26년 3월 KCP_컴프야V</v>
      </c>
      <c r="J378">
        <v>0</v>
      </c>
    </row>
    <row r="379" spans="1:10" x14ac:dyDescent="0.3">
      <c r="A379">
        <v>192</v>
      </c>
      <c r="B379" t="str">
        <v>엔에이치엔한국사이버결제 주식회사</v>
      </c>
      <c r="C379" s="51">
        <v>46112</v>
      </c>
      <c r="D379" t="str">
        <v>3월</v>
      </c>
      <c r="E379" s="52">
        <v>541364</v>
      </c>
      <c r="F379" t="str">
        <v>게임매출</v>
      </c>
      <c r="G379" t="str">
        <v>온라인</v>
      </c>
      <c r="H379" t="str">
        <v>NHN</v>
      </c>
      <c r="I379" t="str">
        <v>[매출/온라인] 26년 3월 KCP_크로니클</v>
      </c>
      <c r="J379">
        <v>0</v>
      </c>
    </row>
    <row r="380" spans="1:10" x14ac:dyDescent="0.3">
      <c r="A380">
        <v>193</v>
      </c>
      <c r="B380" t="str">
        <v>엔에이치엔한국사이버결제 주식회사</v>
      </c>
      <c r="C380" s="51">
        <v>46112</v>
      </c>
      <c r="D380" t="str">
        <v>3월</v>
      </c>
      <c r="E380" s="52">
        <v>18028182</v>
      </c>
      <c r="F380" t="str">
        <v>게임매출</v>
      </c>
      <c r="G380" t="str">
        <v>온라인</v>
      </c>
      <c r="H380" t="str">
        <v>NHN</v>
      </c>
      <c r="I380" t="str">
        <v>[매출/온라인] 26년 3월 KCP_컴프매</v>
      </c>
      <c r="J380">
        <v>0</v>
      </c>
    </row>
    <row r="381" spans="1:10" x14ac:dyDescent="0.3">
      <c r="A381">
        <v>194</v>
      </c>
      <c r="B381" t="str">
        <v>엔에이치엔한국사이버결제 주식회사</v>
      </c>
      <c r="C381" s="51">
        <v>46112</v>
      </c>
      <c r="D381" t="str">
        <v>3월</v>
      </c>
      <c r="E381" s="52">
        <v>4180000</v>
      </c>
      <c r="F381" t="str">
        <v>게임매출</v>
      </c>
      <c r="G381" t="str">
        <v>온라인</v>
      </c>
      <c r="H381" t="str">
        <v>NHN</v>
      </c>
      <c r="I381" t="str">
        <v>[매출/온라인] 26년 3월 KCP_러쉬</v>
      </c>
      <c r="J381">
        <v>0</v>
      </c>
    </row>
    <row r="382" spans="1:10" x14ac:dyDescent="0.3">
      <c r="A382">
        <v>195</v>
      </c>
      <c r="B382" t="str">
        <v>엔에이치엔한국사이버결제 주식회사</v>
      </c>
      <c r="C382" s="51">
        <v>46112</v>
      </c>
      <c r="D382" t="str">
        <v>3월</v>
      </c>
      <c r="E382" s="52">
        <v>2200000</v>
      </c>
      <c r="F382" t="str">
        <v>게임매출</v>
      </c>
      <c r="G382" t="str">
        <v>온라인</v>
      </c>
      <c r="H382" t="str">
        <v>NHN</v>
      </c>
      <c r="I382" t="str">
        <v>[매출/온라인] 26년 3월 KCP_낚시의신</v>
      </c>
      <c r="J382">
        <v>0</v>
      </c>
    </row>
    <row r="383" spans="1:10" x14ac:dyDescent="0.3">
      <c r="A383">
        <v>196</v>
      </c>
      <c r="B383" t="str">
        <v>엔에이치엔한국사이버결제 주식회사</v>
      </c>
      <c r="C383" s="51">
        <v>46112</v>
      </c>
      <c r="D383" t="str">
        <v>3월</v>
      </c>
      <c r="E383" s="52">
        <v>-665455</v>
      </c>
      <c r="F383" t="str">
        <v>게임매출</v>
      </c>
      <c r="G383" t="str">
        <v>온라인</v>
      </c>
      <c r="H383" t="str">
        <v>NHN</v>
      </c>
      <c r="I383" t="str">
        <v>[매출/온라인] 26년 3월 KCP_스타라이트</v>
      </c>
      <c r="J383">
        <v>0</v>
      </c>
    </row>
    <row r="384" spans="1:10" x14ac:dyDescent="0.3">
      <c r="A384">
        <v>197</v>
      </c>
      <c r="B384" t="str">
        <v>엔에이치엔한국사이버결제 주식회사</v>
      </c>
      <c r="C384" s="51">
        <v>46112</v>
      </c>
      <c r="D384" t="str">
        <v>3월</v>
      </c>
      <c r="E384" s="52">
        <v>4446000</v>
      </c>
      <c r="F384" t="str">
        <v>게임매출</v>
      </c>
      <c r="G384" t="str">
        <v>온라인</v>
      </c>
      <c r="H384" t="str">
        <v>NHN</v>
      </c>
      <c r="I384" t="str">
        <v>[매출/온라인] 26년 3월 KCP_아이모</v>
      </c>
      <c r="J384">
        <v>0</v>
      </c>
    </row>
    <row r="385" spans="1:10" x14ac:dyDescent="0.3">
      <c r="A385">
        <v>198</v>
      </c>
      <c r="B385" t="str">
        <v>엔에이치엔한국사이버결제 주식회사</v>
      </c>
      <c r="C385" s="51">
        <v>46112</v>
      </c>
      <c r="D385" t="str">
        <v>3월</v>
      </c>
      <c r="E385" s="52">
        <v>6110000</v>
      </c>
      <c r="F385" t="str">
        <v>게임매출</v>
      </c>
      <c r="G385" t="str">
        <v>온라인</v>
      </c>
      <c r="H385" t="str">
        <v>NHN</v>
      </c>
      <c r="I385" t="str">
        <v>[매출/온라인] 26년 3월 KCP_MLB 9이닝스</v>
      </c>
      <c r="J385">
        <v>0</v>
      </c>
    </row>
    <row r="386" spans="1:10" x14ac:dyDescent="0.3">
      <c r="A386">
        <v>199</v>
      </c>
      <c r="B386" t="str">
        <v>엔에이치엔한국사이버결제 주식회사</v>
      </c>
      <c r="C386" s="51">
        <v>46112</v>
      </c>
      <c r="D386" t="str">
        <v>3월</v>
      </c>
      <c r="E386" s="52">
        <v>4040000</v>
      </c>
      <c r="F386" t="str">
        <v>게임매출</v>
      </c>
      <c r="G386" t="str">
        <v>온라인</v>
      </c>
      <c r="H386" t="str">
        <v>NHN</v>
      </c>
      <c r="I386" t="str">
        <v>[매출/온라인] 26년 3월 KCP_MLB 9이닝스(웹)</v>
      </c>
      <c r="J386">
        <v>0</v>
      </c>
    </row>
    <row r="387" spans="1:10" x14ac:dyDescent="0.3">
      <c r="A387">
        <v>200</v>
      </c>
      <c r="B387" t="str">
        <v>엔에이치엔한국사이버결제 주식회사</v>
      </c>
      <c r="C387" s="51">
        <v>46112</v>
      </c>
      <c r="D387" t="str">
        <v>3월</v>
      </c>
      <c r="E387" s="52">
        <v>82732364</v>
      </c>
      <c r="F387" t="str">
        <v>게임매출</v>
      </c>
      <c r="G387" t="str">
        <v>온라인</v>
      </c>
      <c r="H387" t="str">
        <v>NHN</v>
      </c>
      <c r="I387" t="str">
        <v>[매출/온라인] 26년 3월 KCP_MLB라이벌</v>
      </c>
      <c r="J387">
        <v>0</v>
      </c>
    </row>
    <row r="388" spans="1:10" x14ac:dyDescent="0.3">
      <c r="A388">
        <v>201</v>
      </c>
      <c r="B388" t="str">
        <v>엔에이치엔한국사이버결제 주식회사</v>
      </c>
      <c r="C388" s="51">
        <v>46112</v>
      </c>
      <c r="D388" t="str">
        <v>3월</v>
      </c>
      <c r="E388" s="52">
        <v>71246819</v>
      </c>
      <c r="F388" t="str">
        <v>게임매출</v>
      </c>
      <c r="G388" t="str">
        <v>온라인</v>
      </c>
      <c r="H388" t="str">
        <v>NHN</v>
      </c>
      <c r="I388" t="str">
        <v>[매출/온라인] 26년 3월 KCP_MLB라이벌(웹)</v>
      </c>
      <c r="J388">
        <v>0</v>
      </c>
    </row>
    <row r="389" spans="1:10" x14ac:dyDescent="0.3">
      <c r="A389">
        <v>202</v>
      </c>
      <c r="B389" t="str">
        <v>(주)비바리퍼블리카</v>
      </c>
      <c r="C389" s="51">
        <v>46112</v>
      </c>
      <c r="D389" t="str">
        <v>3월</v>
      </c>
      <c r="E389" s="52">
        <v>56728</v>
      </c>
      <c r="F389" t="str">
        <v>게임매출</v>
      </c>
      <c r="G389" t="str">
        <v>모바일</v>
      </c>
      <c r="H389" t="str">
        <v>비바리퍼블리카</v>
      </c>
      <c r="I389" t="str">
        <v>[매출/온라인] 26.3월 비바리퍼블리카 매출</v>
      </c>
      <c r="J389">
        <v>0</v>
      </c>
    </row>
    <row r="390" spans="1:10" x14ac:dyDescent="0.3">
      <c r="A390">
        <v>203</v>
      </c>
      <c r="B390" t="str">
        <v>토스페이먼츠 주식회사</v>
      </c>
      <c r="C390" s="51">
        <v>46112</v>
      </c>
      <c r="D390" t="str">
        <v>3월</v>
      </c>
      <c r="E390" s="52">
        <v>112311727</v>
      </c>
      <c r="F390" t="str">
        <v>게임매출</v>
      </c>
      <c r="G390" t="str">
        <v>온라인</v>
      </c>
      <c r="H390" t="str">
        <v>토스페이먼츠</v>
      </c>
      <c r="I390" t="str">
        <v>[매출/온라인] 26년3월 토스페이먼츠 매출</v>
      </c>
      <c r="J390">
        <v>0</v>
      </c>
    </row>
    <row r="391" spans="1:10" x14ac:dyDescent="0.3">
      <c r="A391">
        <v>204</v>
      </c>
      <c r="B391" t="str">
        <v>네이버파이낸셜 주식회사</v>
      </c>
      <c r="C391" s="51">
        <v>46112</v>
      </c>
      <c r="D391" t="str">
        <v>3월</v>
      </c>
      <c r="E391" s="52">
        <v>30358182</v>
      </c>
      <c r="F391" t="str">
        <v>게임매출</v>
      </c>
      <c r="G391" t="str">
        <v>온라인</v>
      </c>
      <c r="H391" t="str">
        <v>네이버파이낸셜</v>
      </c>
      <c r="I391" t="str">
        <v>[매출/온라인] 26년 3월 네이버파이낸셜_컴프매</v>
      </c>
      <c r="J391">
        <v>0</v>
      </c>
    </row>
    <row r="392" spans="1:10" x14ac:dyDescent="0.3">
      <c r="A392">
        <v>205</v>
      </c>
      <c r="B392" t="str">
        <v>네이버파이낸셜 주식회사</v>
      </c>
      <c r="C392" s="51">
        <v>46112</v>
      </c>
      <c r="D392" t="str">
        <v>3월</v>
      </c>
      <c r="E392" s="52">
        <v>105476000</v>
      </c>
      <c r="F392" t="str">
        <v>게임매출</v>
      </c>
      <c r="G392" t="str">
        <v>온라인</v>
      </c>
      <c r="H392" t="str">
        <v>네이버파이낸셜</v>
      </c>
      <c r="I392" t="str">
        <v>[매출/온라인] 26년 3월 네이버파이낸셜_컴프야</v>
      </c>
      <c r="J392">
        <v>0</v>
      </c>
    </row>
    <row r="393" spans="1:10" x14ac:dyDescent="0.3">
      <c r="A393">
        <v>206</v>
      </c>
      <c r="B393" t="str">
        <v>네이버파이낸셜 주식회사</v>
      </c>
      <c r="C393" s="51">
        <v>46112</v>
      </c>
      <c r="D393" t="str">
        <v>3월</v>
      </c>
      <c r="E393" s="52">
        <v>658706546</v>
      </c>
      <c r="F393" t="str">
        <v>게임매출</v>
      </c>
      <c r="G393" t="str">
        <v>온라인</v>
      </c>
      <c r="H393" t="str">
        <v>네이버파이낸셜</v>
      </c>
      <c r="I393" t="str">
        <v>[매출/온라인] 26년 3월 네이버파이낸셜_컴프야V</v>
      </c>
      <c r="J393">
        <v>0</v>
      </c>
    </row>
    <row r="394" spans="1:10" x14ac:dyDescent="0.3">
      <c r="A394">
        <v>207</v>
      </c>
      <c r="B394" t="str">
        <v>네이버파이낸셜 주식회사</v>
      </c>
      <c r="C394" s="51">
        <v>46112</v>
      </c>
      <c r="D394" t="str">
        <v>3월</v>
      </c>
      <c r="E394" s="52">
        <v>415910</v>
      </c>
      <c r="F394" t="str">
        <v>게임매출</v>
      </c>
      <c r="G394" t="str">
        <v>온라인</v>
      </c>
      <c r="H394" t="str">
        <v>네이버파이낸셜</v>
      </c>
      <c r="I394" t="str">
        <v>[매출/온라인] 26년 3월 네이버파이낸셜_크로니클</v>
      </c>
      <c r="J394">
        <v>0</v>
      </c>
    </row>
    <row r="395" spans="1:10" x14ac:dyDescent="0.3">
      <c r="A395">
        <v>208</v>
      </c>
      <c r="B395" t="str">
        <v>Paypal PTE.LTD</v>
      </c>
      <c r="C395" s="51">
        <v>46112</v>
      </c>
      <c r="D395" t="str">
        <v>3월</v>
      </c>
      <c r="E395" s="52">
        <v>30460311</v>
      </c>
      <c r="F395" t="str">
        <v>게임매출</v>
      </c>
      <c r="G395" t="str">
        <v>온라인</v>
      </c>
      <c r="H395" t="str">
        <v>Paypal</v>
      </c>
      <c r="I395" t="str">
        <v>[매출/온라인] 3월 페이팔 WW</v>
      </c>
      <c r="J395">
        <v>0</v>
      </c>
    </row>
    <row r="396" spans="1:10" x14ac:dyDescent="0.3">
      <c r="A396">
        <v>209</v>
      </c>
      <c r="B396" t="str">
        <v>Paypal PTE.LTD</v>
      </c>
      <c r="C396" s="51">
        <v>46112</v>
      </c>
      <c r="D396" t="str">
        <v>3월</v>
      </c>
      <c r="E396" s="52">
        <v>54498</v>
      </c>
      <c r="F396" t="str">
        <v>게임매출</v>
      </c>
      <c r="G396" t="str">
        <v>온라인</v>
      </c>
      <c r="H396" t="str">
        <v>Paypal</v>
      </c>
      <c r="I396" t="str">
        <v>[매출/온라인] 3월 페이팔 JP</v>
      </c>
      <c r="J396">
        <v>0</v>
      </c>
    </row>
    <row r="397" spans="1:10" x14ac:dyDescent="0.3">
      <c r="A397">
        <v>210</v>
      </c>
      <c r="B397" t="str">
        <v>SOFT-WORLD INT'L CORP.</v>
      </c>
      <c r="C397" s="51">
        <v>46112</v>
      </c>
      <c r="D397" t="str">
        <v>3월</v>
      </c>
      <c r="E397" s="52">
        <v>26115132</v>
      </c>
      <c r="F397" t="str">
        <v>게임매출</v>
      </c>
      <c r="G397" t="str">
        <v>온라인</v>
      </c>
      <c r="H397" t="str">
        <v>SOFT-WORLD</v>
      </c>
      <c r="I397" t="str">
        <v>[매출/온라인] 2026.03 마이카드 (TW)_MLB 9이닝스</v>
      </c>
      <c r="J397" t="str">
        <v>← 스타시드 관련 (대만/HK 카드 매출)</v>
      </c>
    </row>
    <row r="398" spans="1:10" x14ac:dyDescent="0.3">
      <c r="A398">
        <v>211</v>
      </c>
      <c r="B398" t="str">
        <v>SOFT-WORLD INT'L CORP.</v>
      </c>
      <c r="C398" s="51">
        <v>46112</v>
      </c>
      <c r="D398" t="str">
        <v>3월</v>
      </c>
      <c r="E398" s="52">
        <v>470220650</v>
      </c>
      <c r="F398" t="str">
        <v>게임매출</v>
      </c>
      <c r="G398" t="str">
        <v>온라인</v>
      </c>
      <c r="H398" t="str">
        <v>SOFT-WORLD</v>
      </c>
      <c r="I398" t="str">
        <v>[매출/온라인] 2026.03 마이카드 (TW)_MLB라이벌</v>
      </c>
      <c r="J398" t="str">
        <v>← 스타시드 관련 (대만/HK 카드 매출)</v>
      </c>
    </row>
    <row r="399" spans="1:10" x14ac:dyDescent="0.3">
      <c r="A399">
        <v>212</v>
      </c>
      <c r="B399" t="str">
        <v>Xsolla (USA), Inc.</v>
      </c>
      <c r="C399" s="51">
        <v>46112</v>
      </c>
      <c r="D399" t="str">
        <v>3월</v>
      </c>
      <c r="E399" s="52">
        <v>6210587</v>
      </c>
      <c r="F399" t="str">
        <v>게임매출</v>
      </c>
      <c r="G399" t="str">
        <v>모바일</v>
      </c>
      <c r="H399" t="str">
        <v>Xsolla</v>
      </c>
      <c r="I399" t="str">
        <v>[매출/온라인] 2026.03 Xsolla 매출_서머너즈 워: 러쉬</v>
      </c>
      <c r="J399">
        <v>0</v>
      </c>
    </row>
    <row r="400" spans="1:10" x14ac:dyDescent="0.3">
      <c r="A400">
        <v>213</v>
      </c>
      <c r="B400" t="str">
        <v>Xsolla (USA), Inc.</v>
      </c>
      <c r="C400" s="51">
        <v>46112</v>
      </c>
      <c r="D400" t="str">
        <v>3월</v>
      </c>
      <c r="E400" s="52">
        <v>4215160</v>
      </c>
      <c r="F400" t="str">
        <v>게임매출</v>
      </c>
      <c r="G400" t="str">
        <v>모바일</v>
      </c>
      <c r="H400" t="str">
        <v>Xsolla</v>
      </c>
      <c r="I400" t="str">
        <v>[매출/온라인] 2026.03 Xsolla 매출_MLB 9이닝스</v>
      </c>
      <c r="J400">
        <v>0</v>
      </c>
    </row>
    <row r="401" spans="1:10" x14ac:dyDescent="0.3">
      <c r="A401">
        <v>214</v>
      </c>
      <c r="B401" t="str">
        <v>Xsolla (USA), Inc.</v>
      </c>
      <c r="C401" s="51">
        <v>46112</v>
      </c>
      <c r="D401" t="str">
        <v>3월</v>
      </c>
      <c r="E401" s="52">
        <v>216622864</v>
      </c>
      <c r="F401" t="str">
        <v>게임매출</v>
      </c>
      <c r="G401" t="str">
        <v>모바일</v>
      </c>
      <c r="H401" t="str">
        <v>Xsolla</v>
      </c>
      <c r="I401" t="str">
        <v>[매출/온라인] 2026.03 Xsolla 매출_MLB 라이벌</v>
      </c>
      <c r="J401">
        <v>0</v>
      </c>
    </row>
    <row r="402" spans="1:10" x14ac:dyDescent="0.3">
      <c r="A402">
        <v>215</v>
      </c>
      <c r="B402" t="str">
        <v>Admob</v>
      </c>
      <c r="C402" s="51">
        <v>46112</v>
      </c>
      <c r="D402" t="str">
        <v>3월</v>
      </c>
      <c r="E402" s="52">
        <v>59</v>
      </c>
      <c r="F402" t="str">
        <v>게임매출</v>
      </c>
      <c r="G402" t="str">
        <v>광고</v>
      </c>
      <c r="H402" t="str">
        <v>Admob</v>
      </c>
      <c r="I402" t="str">
        <v>[매출/광고] 2026.03 GOOGLE ADMOB</v>
      </c>
      <c r="J402">
        <v>0</v>
      </c>
    </row>
    <row r="403" spans="1:10" x14ac:dyDescent="0.3">
      <c r="A403">
        <v>216</v>
      </c>
      <c r="B403" t="str">
        <v>Facebook, Inc.</v>
      </c>
      <c r="C403" s="51">
        <v>46112</v>
      </c>
      <c r="D403" t="str">
        <v>3월</v>
      </c>
      <c r="E403" s="52">
        <v>20082886</v>
      </c>
      <c r="F403" t="str">
        <v>게임매출</v>
      </c>
      <c r="G403" t="str">
        <v>광고</v>
      </c>
      <c r="H403" t="str">
        <v>Facebook</v>
      </c>
      <c r="I403" t="str">
        <v>[매출/광고] 2026.03 FACEBOOK 매출</v>
      </c>
      <c r="J403">
        <v>0</v>
      </c>
    </row>
    <row r="404" spans="1:10" x14ac:dyDescent="0.3">
      <c r="A404">
        <v>217</v>
      </c>
      <c r="B404" t="str">
        <v>주식회사 넵튠</v>
      </c>
      <c r="C404" s="51">
        <v>46112</v>
      </c>
      <c r="D404" t="str">
        <v>3월</v>
      </c>
      <c r="E404" s="52">
        <v>93064277</v>
      </c>
      <c r="F404" t="str">
        <v>게임매출</v>
      </c>
      <c r="G404" t="str">
        <v>광고</v>
      </c>
      <c r="H404" t="str">
        <v>넵튠</v>
      </c>
      <c r="I404" t="str">
        <v>[매출/광고] 26년 3월 넵튠 광고매출</v>
      </c>
      <c r="J404" t="str">
        <v>← 러쉬 Xsolla 정산</v>
      </c>
    </row>
    <row r="405" spans="1:10" x14ac:dyDescent="0.3">
      <c r="A405">
        <v>218</v>
      </c>
      <c r="B405" t="str">
        <v>Line Corporation</v>
      </c>
      <c r="C405" s="51">
        <v>46112</v>
      </c>
      <c r="D405" t="str">
        <v>3월</v>
      </c>
      <c r="E405" s="52">
        <v>1218</v>
      </c>
      <c r="F405" t="str">
        <v>게임매출</v>
      </c>
      <c r="G405" t="str">
        <v>광고</v>
      </c>
      <c r="H405" t="str">
        <v>Line</v>
      </c>
      <c r="I405" t="str">
        <v>[매출/광고] 2026.03 LINE 매출_일본 원천세 10%</v>
      </c>
      <c r="J405">
        <v>0</v>
      </c>
    </row>
    <row r="406" spans="1:10" x14ac:dyDescent="0.3">
      <c r="A406">
        <v>219</v>
      </c>
      <c r="B406" t="str">
        <v>(주)밸로프(VALOFE Co., Ltd)</v>
      </c>
      <c r="C406" s="51">
        <v>46112</v>
      </c>
      <c r="D406" t="str">
        <v>3월</v>
      </c>
      <c r="E406" s="52">
        <v>459763</v>
      </c>
      <c r="F406" t="str">
        <v>게임매출</v>
      </c>
      <c r="G406" t="str">
        <v>모바일</v>
      </c>
      <c r="H406" t="str">
        <v>밸로프</v>
      </c>
      <c r="I406" t="str">
        <v>3월/매출_로열티정산/밸로프 루니아전기 로열티 정산(2026년 3월)</v>
      </c>
      <c r="J406">
        <v>0</v>
      </c>
    </row>
    <row r="407" spans="1:10" x14ac:dyDescent="0.3">
      <c r="A407">
        <v>220</v>
      </c>
      <c r="B407" t="str">
        <v>주식회사 컴투스홀딩스</v>
      </c>
      <c r="C407" s="51">
        <v>46112</v>
      </c>
      <c r="D407" t="str">
        <v>3월</v>
      </c>
      <c r="E407" s="52">
        <v>19862221</v>
      </c>
      <c r="F407" t="str">
        <v>게임매출</v>
      </c>
      <c r="G407" t="str">
        <v>모바일</v>
      </c>
      <c r="H407" t="str">
        <v>컴투스홀딩스</v>
      </c>
      <c r="I407" t="str">
        <v>컴투스홀딩스 크리티카 모바일 정산(2026년 3월)</v>
      </c>
      <c r="J407">
        <v>0</v>
      </c>
    </row>
    <row r="408" spans="1:10" x14ac:dyDescent="0.3">
      <c r="A408">
        <v>221</v>
      </c>
      <c r="B408" t="str">
        <v>Terminal3</v>
      </c>
      <c r="C408" s="51">
        <v>46112</v>
      </c>
      <c r="D408" t="str">
        <v>3월</v>
      </c>
      <c r="E408" s="52">
        <v>10448365</v>
      </c>
      <c r="F408" t="str">
        <v>게임매출</v>
      </c>
      <c r="G408" t="str">
        <v>온라인</v>
      </c>
      <c r="H408" t="str">
        <v>Terminal3</v>
      </c>
      <c r="I408" t="str">
        <v>[매출/온라인] 26년 3월 터미널3_크리티카 글로벌</v>
      </c>
      <c r="J408">
        <v>0</v>
      </c>
    </row>
    <row r="409" spans="1:10" x14ac:dyDescent="0.3">
      <c r="A409">
        <v>222</v>
      </c>
      <c r="B409" t="str">
        <v>Terminal3</v>
      </c>
      <c r="C409" s="51">
        <v>46112</v>
      </c>
      <c r="D409" t="str">
        <v>3월</v>
      </c>
      <c r="E409" s="52">
        <v>662555</v>
      </c>
      <c r="F409" t="str">
        <v>게임매출</v>
      </c>
      <c r="G409" t="str">
        <v>온라인</v>
      </c>
      <c r="H409" t="str">
        <v>Terminal3</v>
      </c>
      <c r="I409" t="str">
        <v>[매출/온라인] 26년 3월 터미널3_낚시의 신_WW</v>
      </c>
      <c r="J409">
        <v>0</v>
      </c>
    </row>
    <row r="410" spans="1:10" x14ac:dyDescent="0.3">
      <c r="A410">
        <v>223</v>
      </c>
      <c r="B410" t="str">
        <v>Terminal3</v>
      </c>
      <c r="C410" s="51">
        <v>46112</v>
      </c>
      <c r="D410" t="str">
        <v>3월</v>
      </c>
      <c r="E410" s="52">
        <v>-5596</v>
      </c>
      <c r="F410" t="str">
        <v>게임매출</v>
      </c>
      <c r="G410" t="str">
        <v>온라인</v>
      </c>
      <c r="H410" t="str">
        <v>Terminal3</v>
      </c>
      <c r="I410" t="str">
        <v>[매출/온라인] 26년 3월 터미널3_크로니클_JP</v>
      </c>
      <c r="J410">
        <v>0</v>
      </c>
    </row>
    <row r="411" spans="1:10" x14ac:dyDescent="0.3">
      <c r="A411">
        <v>224</v>
      </c>
      <c r="B411" t="str">
        <v>Terminal3</v>
      </c>
      <c r="C411" s="51">
        <v>46112</v>
      </c>
      <c r="D411" t="str">
        <v>3월</v>
      </c>
      <c r="E411" s="52">
        <v>1852073</v>
      </c>
      <c r="F411" t="str">
        <v>게임매출</v>
      </c>
      <c r="G411" t="str">
        <v>온라인</v>
      </c>
      <c r="H411" t="str">
        <v>Terminal3</v>
      </c>
      <c r="I411" t="str">
        <v>[매출/온라인] 26년 3월 터미널3_크로니클 WW</v>
      </c>
      <c r="J411">
        <v>0</v>
      </c>
    </row>
    <row r="412" spans="1:10" x14ac:dyDescent="0.3">
      <c r="A412">
        <v>225</v>
      </c>
      <c r="B412" t="str">
        <v>Terminal3</v>
      </c>
      <c r="C412" s="51">
        <v>46112</v>
      </c>
      <c r="D412" t="str">
        <v>3월</v>
      </c>
      <c r="E412" s="52">
        <v>185100</v>
      </c>
      <c r="F412" t="str">
        <v>게임매출</v>
      </c>
      <c r="G412" t="str">
        <v>온라인</v>
      </c>
      <c r="H412" t="str">
        <v>Terminal3</v>
      </c>
      <c r="I412" t="str">
        <v>[매출/온라인] 26년 3월 터미널 3_크로니클_KR</v>
      </c>
      <c r="J412">
        <v>0</v>
      </c>
    </row>
    <row r="413" spans="1:10" x14ac:dyDescent="0.3">
      <c r="A413">
        <v>226</v>
      </c>
      <c r="B413" t="str">
        <v>Terminal3</v>
      </c>
      <c r="C413" s="51">
        <v>46112</v>
      </c>
      <c r="D413" t="str">
        <v>3월</v>
      </c>
      <c r="E413" s="52">
        <v>47732353</v>
      </c>
      <c r="F413" t="str">
        <v>게임매출</v>
      </c>
      <c r="G413" t="str">
        <v>온라인</v>
      </c>
      <c r="H413" t="str">
        <v>Terminal3</v>
      </c>
      <c r="I413" t="str">
        <v>[매출/온라인] 26년 3월 터미널 3_MLB라이벌(웹) 글로벌</v>
      </c>
      <c r="J413">
        <v>0</v>
      </c>
    </row>
    <row r="414" spans="1:10" x14ac:dyDescent="0.3">
      <c r="A414">
        <v>227</v>
      </c>
      <c r="B414" t="str">
        <v>Terminal3</v>
      </c>
      <c r="C414" s="51">
        <v>46112</v>
      </c>
      <c r="D414" t="str">
        <v>3월</v>
      </c>
      <c r="E414" s="52">
        <v>-19789</v>
      </c>
      <c r="F414" t="str">
        <v>게임매출</v>
      </c>
      <c r="G414" t="str">
        <v>온라인</v>
      </c>
      <c r="H414" t="str">
        <v>Terminal3</v>
      </c>
      <c r="I414" t="str">
        <v>[매출/온라인] 26년 3월 터미널3_크리티카 글로벌_차감</v>
      </c>
      <c r="J414">
        <v>0</v>
      </c>
    </row>
    <row r="415" spans="1:10" x14ac:dyDescent="0.3">
      <c r="A415">
        <v>228</v>
      </c>
      <c r="B415" t="str">
        <v>Terminal3</v>
      </c>
      <c r="C415" s="51">
        <v>46112</v>
      </c>
      <c r="D415" t="str">
        <v>3월</v>
      </c>
      <c r="E415" s="52">
        <v>964636</v>
      </c>
      <c r="F415" t="str">
        <v>게임매출</v>
      </c>
      <c r="G415" t="str">
        <v>온라인</v>
      </c>
      <c r="H415" t="str">
        <v>Terminal3</v>
      </c>
      <c r="I415" t="str">
        <v>[매출/온라인] 26년 3월 터미널3_크로니클 WW_가산</v>
      </c>
      <c r="J415">
        <v>0</v>
      </c>
    </row>
    <row r="416" spans="1:10" x14ac:dyDescent="0.3">
      <c r="A416">
        <v>229</v>
      </c>
      <c r="B416" t="str">
        <v>Out of the park Developments GmbH &amp; Co.KG(OOTP)</v>
      </c>
      <c r="C416" s="51">
        <v>46112</v>
      </c>
      <c r="D416" t="str">
        <v>3월</v>
      </c>
      <c r="E416" s="52">
        <v>1499455</v>
      </c>
      <c r="F416" t="str">
        <v>게임매출</v>
      </c>
      <c r="G416" t="str">
        <v>OOTP</v>
      </c>
      <c r="H416" t="str">
        <v>OOTP</v>
      </c>
      <c r="I416" t="str">
        <v>03월 / 로열티수익 / 26년 03월  OOTP 구장 로열티 KBO</v>
      </c>
      <c r="J416" t="str">
        <v>← OOTP 관련(추정손익 파일상 기타매출로 분류)</v>
      </c>
    </row>
    <row r="417" spans="1:10" x14ac:dyDescent="0.3">
      <c r="A417">
        <v>230</v>
      </c>
      <c r="B417" t="str">
        <v>Out of the park Developments GmbH &amp; Co.KG(OOTP)</v>
      </c>
      <c r="C417" s="51">
        <v>46112</v>
      </c>
      <c r="D417" t="str">
        <v>3월</v>
      </c>
      <c r="E417" s="52">
        <v>4998173</v>
      </c>
      <c r="F417" t="str">
        <v>게임매출</v>
      </c>
      <c r="G417" t="str">
        <v>OOTP</v>
      </c>
      <c r="H417" t="str">
        <v>OOTP</v>
      </c>
      <c r="I417" t="str">
        <v>03월 / 로열티수익 / 26년 03월  OOTP 구장 로열티 MLB</v>
      </c>
      <c r="J417" t="str">
        <v>← OOTP 관련(추정손익 파일상 기타매출로 분류)</v>
      </c>
    </row>
    <row r="418" spans="1:10" x14ac:dyDescent="0.3">
      <c r="A418">
        <v>231</v>
      </c>
      <c r="B418" t="str">
        <v>Red River Digital Technology Development Joint Sto</v>
      </c>
      <c r="C418" s="51">
        <v>46112</v>
      </c>
      <c r="D418" t="str">
        <v>3월</v>
      </c>
      <c r="E418" s="52">
        <v>86513528</v>
      </c>
      <c r="F418" t="str">
        <v>게임매출</v>
      </c>
      <c r="G418" t="str">
        <v>모바일</v>
      </c>
      <c r="H418" t="str">
        <v>Red River</v>
      </c>
      <c r="I418" t="str">
        <v>[매출] 26년 3월 Redriver 서머너즈워 베트남 정산 USD 58,194</v>
      </c>
      <c r="J418">
        <v>0</v>
      </c>
    </row>
    <row r="419" spans="1:10" x14ac:dyDescent="0.3">
      <c r="A419">
        <v>232</v>
      </c>
      <c r="B419" t="str">
        <v>Beijing You Jie Le Communication Technology Co.,Lt</v>
      </c>
      <c r="C419" s="51">
        <v>46112</v>
      </c>
      <c r="D419" t="str">
        <v>3월</v>
      </c>
      <c r="E419" s="52">
        <v>514300513</v>
      </c>
      <c r="F419" t="str">
        <v>게임매출</v>
      </c>
      <c r="G419" t="str">
        <v>모바일</v>
      </c>
      <c r="H419" t="str">
        <v>Beijing Raymobile</v>
      </c>
      <c r="I419" t="str">
        <v>[매출] 26년 3월 Beijing YJL 매출</v>
      </c>
      <c r="J419">
        <v>0</v>
      </c>
    </row>
    <row r="420" spans="1:10" x14ac:dyDescent="0.3">
      <c r="A420">
        <v>233</v>
      </c>
      <c r="B420" t="str">
        <v>(주)밸로프(VALOFE Co., Ltd)</v>
      </c>
      <c r="C420" s="51">
        <v>46112</v>
      </c>
      <c r="D420" t="str">
        <v>3월</v>
      </c>
      <c r="E420" s="52">
        <v>848385</v>
      </c>
      <c r="F420" t="str">
        <v>게임매출</v>
      </c>
      <c r="G420" t="str">
        <v>모바일</v>
      </c>
      <c r="H420" t="str">
        <v>밸로프</v>
      </c>
      <c r="I420" t="str">
        <v>올엠 합병 자산부채 인식_루니아전기 계약금/기간손익 결산분개</v>
      </c>
      <c r="J420">
        <v>0</v>
      </c>
    </row>
    <row r="421" spans="1:10" x14ac:dyDescent="0.3">
      <c r="A421">
        <v>234</v>
      </c>
      <c r="B421" t="str">
        <v>컴투스</v>
      </c>
      <c r="C421" s="51">
        <v>46112</v>
      </c>
      <c r="D421" t="str">
        <v>3월</v>
      </c>
      <c r="E421" s="52">
        <v>-2120629176</v>
      </c>
      <c r="F421" t="str">
        <v>게임매출</v>
      </c>
      <c r="G421" t="str">
        <v>모바일</v>
      </c>
      <c r="H421" t="str">
        <v>컴투스(수익이연)</v>
      </c>
      <c r="I421" t="str">
        <v>[K-IFRS] 26년 1분기 수익이연</v>
      </c>
      <c r="J421" t="str">
        <v>← K-IFRS 수익이연</v>
      </c>
    </row>
    <row r="422" spans="1:10" x14ac:dyDescent="0.3">
      <c r="A422">
        <v>241</v>
      </c>
      <c r="B422" t="str">
        <v>Apple Inc.</v>
      </c>
      <c r="C422" s="51">
        <v>46142</v>
      </c>
      <c r="D422" t="str">
        <v>4월</v>
      </c>
      <c r="E422" s="52">
        <v>-3678979351</v>
      </c>
      <c r="F422" t="str">
        <v>게임매출</v>
      </c>
      <c r="G422" t="str">
        <v>모바일</v>
      </c>
      <c r="H422" t="str">
        <v>애플</v>
      </c>
      <c r="I422" t="str">
        <v>[매출/예상] 03월 애플 KR / 역분개</v>
      </c>
      <c r="J422">
        <v>0</v>
      </c>
    </row>
    <row r="423" spans="1:10" x14ac:dyDescent="0.3">
      <c r="A423">
        <v>242</v>
      </c>
      <c r="B423" t="str">
        <v>Apple Inc.</v>
      </c>
      <c r="C423" s="51">
        <v>46142</v>
      </c>
      <c r="D423" t="str">
        <v>4월</v>
      </c>
      <c r="E423" s="52">
        <v>-2290069380</v>
      </c>
      <c r="F423" t="str">
        <v>게임매출</v>
      </c>
      <c r="G423" t="str">
        <v>모바일</v>
      </c>
      <c r="H423" t="str">
        <v>애플</v>
      </c>
      <c r="I423" t="str">
        <v>[매출/예상] 03월 애플 JP / 역분개</v>
      </c>
      <c r="J423">
        <v>0</v>
      </c>
    </row>
    <row r="424" spans="1:10" x14ac:dyDescent="0.3">
      <c r="A424">
        <v>243</v>
      </c>
      <c r="B424" t="str">
        <v>Apple Inc.</v>
      </c>
      <c r="C424" s="51">
        <v>46142</v>
      </c>
      <c r="D424" t="str">
        <v>4월</v>
      </c>
      <c r="E424" s="52">
        <v>-11722815185</v>
      </c>
      <c r="F424" t="str">
        <v>게임매출</v>
      </c>
      <c r="G424" t="str">
        <v>모바일</v>
      </c>
      <c r="H424" t="str">
        <v>애플</v>
      </c>
      <c r="I424" t="str">
        <v>[매출/예상] 03월 애플 WW / 역분개</v>
      </c>
      <c r="J424">
        <v>0</v>
      </c>
    </row>
    <row r="425" spans="1:10" x14ac:dyDescent="0.3">
      <c r="A425">
        <v>244</v>
      </c>
      <c r="B425" t="str">
        <v>Huawei Services (hong Kong) Co., Limited</v>
      </c>
      <c r="C425" s="51">
        <v>46142</v>
      </c>
      <c r="D425" t="str">
        <v>4월</v>
      </c>
      <c r="E425" s="52">
        <v>-861867208</v>
      </c>
      <c r="F425" t="str">
        <v>게임매출</v>
      </c>
      <c r="G425" t="str">
        <v>모바일</v>
      </c>
      <c r="H425" t="str">
        <v>Huawei</v>
      </c>
      <c r="I425" t="str">
        <v>[매출/예상] 3월 화웨이 / 역분개</v>
      </c>
      <c r="J425">
        <v>0</v>
      </c>
    </row>
    <row r="426" spans="1:10" x14ac:dyDescent="0.3">
      <c r="A426">
        <v>245</v>
      </c>
      <c r="B426" t="str">
        <v>GOOGLE, INC.</v>
      </c>
      <c r="C426" s="51">
        <v>46142</v>
      </c>
      <c r="D426" t="str">
        <v>4월</v>
      </c>
      <c r="E426" s="52">
        <v>-5899015255</v>
      </c>
      <c r="F426" t="str">
        <v>게임매출</v>
      </c>
      <c r="G426" t="str">
        <v>모바일</v>
      </c>
      <c r="H426" t="str">
        <v>구글</v>
      </c>
      <c r="I426" t="str">
        <v>[매출/예상] 03월 구글 KR / 역분개</v>
      </c>
      <c r="J426">
        <v>0</v>
      </c>
    </row>
    <row r="427" spans="1:10" x14ac:dyDescent="0.3">
      <c r="A427">
        <v>246</v>
      </c>
      <c r="B427" t="str">
        <v>GOOGLE, INC.</v>
      </c>
      <c r="C427" s="51">
        <v>46142</v>
      </c>
      <c r="D427" t="str">
        <v>4월</v>
      </c>
      <c r="E427" s="52">
        <v>-920847785</v>
      </c>
      <c r="F427" t="str">
        <v>게임매출</v>
      </c>
      <c r="G427" t="str">
        <v>모바일</v>
      </c>
      <c r="H427" t="str">
        <v>구글</v>
      </c>
      <c r="I427" t="str">
        <v>[매출/예상] 03월 구글 JP / 역분개</v>
      </c>
      <c r="J427">
        <v>0</v>
      </c>
    </row>
    <row r="428" spans="1:10" x14ac:dyDescent="0.3">
      <c r="A428">
        <v>247</v>
      </c>
      <c r="B428" t="str">
        <v>GOOGLE, INC.</v>
      </c>
      <c r="C428" s="51">
        <v>46142</v>
      </c>
      <c r="D428" t="str">
        <v>4월</v>
      </c>
      <c r="E428" s="52">
        <v>-6711578146</v>
      </c>
      <c r="F428" t="str">
        <v>게임매출</v>
      </c>
      <c r="G428" t="str">
        <v>모바일</v>
      </c>
      <c r="H428" t="str">
        <v>구글</v>
      </c>
      <c r="I428" t="str">
        <v>[매출/예상] 03월 구글 WW / 역분개</v>
      </c>
      <c r="J428">
        <v>0</v>
      </c>
    </row>
    <row r="429" spans="1:10" x14ac:dyDescent="0.3">
      <c r="A429">
        <v>248</v>
      </c>
      <c r="B429" t="str">
        <v>Amazon</v>
      </c>
      <c r="C429" s="51">
        <v>46142</v>
      </c>
      <c r="D429" t="str">
        <v>4월</v>
      </c>
      <c r="E429" s="52">
        <v>-752014</v>
      </c>
      <c r="F429" t="str">
        <v>게임매출</v>
      </c>
      <c r="G429" t="str">
        <v>모바일</v>
      </c>
      <c r="H429" t="str">
        <v>Amazon</v>
      </c>
      <c r="I429" t="str">
        <v>[매출/예상] 3월 아마존 EUR / 역분개</v>
      </c>
      <c r="J429">
        <v>0</v>
      </c>
    </row>
    <row r="430" spans="1:10" x14ac:dyDescent="0.3">
      <c r="A430">
        <v>249</v>
      </c>
      <c r="B430" t="str">
        <v>Amazon</v>
      </c>
      <c r="C430" s="51">
        <v>46142</v>
      </c>
      <c r="D430" t="str">
        <v>4월</v>
      </c>
      <c r="E430" s="52">
        <v>-29702</v>
      </c>
      <c r="F430" t="str">
        <v>게임매출</v>
      </c>
      <c r="G430" t="str">
        <v>모바일</v>
      </c>
      <c r="H430" t="str">
        <v>Amazon</v>
      </c>
      <c r="I430" t="str">
        <v>[매출/예상] 3월 아마존 GBP / 역분개</v>
      </c>
      <c r="J430">
        <v>0</v>
      </c>
    </row>
    <row r="431" spans="1:10" x14ac:dyDescent="0.3">
      <c r="A431">
        <v>250</v>
      </c>
      <c r="B431" t="str">
        <v>Amazon</v>
      </c>
      <c r="C431" s="51">
        <v>46142</v>
      </c>
      <c r="D431" t="str">
        <v>4월</v>
      </c>
      <c r="E431" s="52">
        <v>-22863185</v>
      </c>
      <c r="F431" t="str">
        <v>게임매출</v>
      </c>
      <c r="G431" t="str">
        <v>모바일</v>
      </c>
      <c r="H431" t="str">
        <v>Amazon</v>
      </c>
      <c r="I431" t="str">
        <v>[매출/예상] 3월 아마존 USD / 역분개</v>
      </c>
      <c r="J431">
        <v>0</v>
      </c>
    </row>
    <row r="432" spans="1:10" x14ac:dyDescent="0.3">
      <c r="A432">
        <v>251</v>
      </c>
      <c r="B432" t="str">
        <v>Amazon</v>
      </c>
      <c r="C432" s="51">
        <v>46142</v>
      </c>
      <c r="D432" t="str">
        <v>4월</v>
      </c>
      <c r="E432" s="52">
        <v>-688570</v>
      </c>
      <c r="F432" t="str">
        <v>게임매출</v>
      </c>
      <c r="G432" t="str">
        <v>모바일</v>
      </c>
      <c r="H432" t="str">
        <v>Amazon</v>
      </c>
      <c r="I432" t="str">
        <v>[매출/예상] 3월 아마존 JPY / 역분개</v>
      </c>
      <c r="J432">
        <v>0</v>
      </c>
    </row>
    <row r="433" spans="1:10" x14ac:dyDescent="0.3">
      <c r="A433">
        <v>252</v>
      </c>
      <c r="B433" t="str">
        <v>Red River Digital Technology Development Joint Sto</v>
      </c>
      <c r="C433" s="51">
        <v>46142</v>
      </c>
      <c r="D433" t="str">
        <v>4월</v>
      </c>
      <c r="E433" s="52">
        <v>-112526087</v>
      </c>
      <c r="F433" t="str">
        <v>게임매출</v>
      </c>
      <c r="G433" t="str">
        <v>모바일</v>
      </c>
      <c r="H433" t="str">
        <v>Red River</v>
      </c>
      <c r="I433" t="str">
        <v>[매출] 26년 4월 Redriver 서머너즈워 베트남 재정산 (25.12월 분) USD -76,683.99</v>
      </c>
      <c r="J433">
        <v>0</v>
      </c>
    </row>
    <row r="434" spans="1:10" x14ac:dyDescent="0.3">
      <c r="A434">
        <v>253</v>
      </c>
      <c r="B434" t="str">
        <v>엔에이치엔한국사이버결제 주식회사</v>
      </c>
      <c r="C434" s="51">
        <v>46142</v>
      </c>
      <c r="D434" t="str">
        <v>4월</v>
      </c>
      <c r="E434" s="52">
        <v>124851273</v>
      </c>
      <c r="F434" t="str">
        <v>게임매출</v>
      </c>
      <c r="G434" t="str">
        <v>온라인</v>
      </c>
      <c r="H434" t="str">
        <v>NHN</v>
      </c>
      <c r="I434" t="str">
        <v>[매출/온라인] 26년 4월 KCP_컴프야</v>
      </c>
      <c r="J434">
        <v>0</v>
      </c>
    </row>
    <row r="435" spans="1:10" x14ac:dyDescent="0.3">
      <c r="A435">
        <v>254</v>
      </c>
      <c r="B435" t="str">
        <v>엔에이치엔한국사이버결제 주식회사</v>
      </c>
      <c r="C435" s="51">
        <v>46142</v>
      </c>
      <c r="D435" t="str">
        <v>4월</v>
      </c>
      <c r="E435" s="52">
        <v>500378910</v>
      </c>
      <c r="F435" t="str">
        <v>게임매출</v>
      </c>
      <c r="G435" t="str">
        <v>온라인</v>
      </c>
      <c r="H435" t="str">
        <v>NHN</v>
      </c>
      <c r="I435" t="str">
        <v>[매출/온라인] 26년 4월 KCP_컴프야V (웹)</v>
      </c>
      <c r="J435">
        <v>0</v>
      </c>
    </row>
    <row r="436" spans="1:10" x14ac:dyDescent="0.3">
      <c r="A436">
        <v>255</v>
      </c>
      <c r="B436" t="str">
        <v>엔에이치엔한국사이버결제 주식회사</v>
      </c>
      <c r="C436" s="51">
        <v>46142</v>
      </c>
      <c r="D436" t="str">
        <v>4월</v>
      </c>
      <c r="E436" s="52">
        <v>162565364</v>
      </c>
      <c r="F436" t="str">
        <v>게임매출</v>
      </c>
      <c r="G436" t="str">
        <v>온라인</v>
      </c>
      <c r="H436" t="str">
        <v>NHN</v>
      </c>
      <c r="I436" t="str">
        <v>[매출/온라인] 26년 4월 KCP_컴프야V</v>
      </c>
      <c r="J436">
        <v>0</v>
      </c>
    </row>
    <row r="437" spans="1:10" x14ac:dyDescent="0.3">
      <c r="A437">
        <v>256</v>
      </c>
      <c r="B437" t="str">
        <v>엔에이치엔한국사이버결제 주식회사</v>
      </c>
      <c r="C437" s="51">
        <v>46142</v>
      </c>
      <c r="D437" t="str">
        <v>4월</v>
      </c>
      <c r="E437" s="52">
        <v>261364</v>
      </c>
      <c r="F437" t="str">
        <v>게임매출</v>
      </c>
      <c r="G437" t="str">
        <v>온라인</v>
      </c>
      <c r="H437" t="str">
        <v>NHN</v>
      </c>
      <c r="I437" t="str">
        <v>[매출/온라인] 26년 4월 KCP_크로니클</v>
      </c>
      <c r="J437">
        <v>0</v>
      </c>
    </row>
    <row r="438" spans="1:10" x14ac:dyDescent="0.3">
      <c r="A438">
        <v>257</v>
      </c>
      <c r="B438" t="str">
        <v>엔에이치엔한국사이버결제 주식회사</v>
      </c>
      <c r="C438" s="51">
        <v>46142</v>
      </c>
      <c r="D438" t="str">
        <v>4월</v>
      </c>
      <c r="E438" s="52">
        <v>62166364</v>
      </c>
      <c r="F438" t="str">
        <v>게임매출</v>
      </c>
      <c r="G438" t="str">
        <v>온라인</v>
      </c>
      <c r="H438" t="str">
        <v>NHN</v>
      </c>
      <c r="I438" t="str">
        <v>[매출/온라인] 26년 4월 KCP_컴프매</v>
      </c>
      <c r="J438">
        <v>0</v>
      </c>
    </row>
    <row r="439" spans="1:10" x14ac:dyDescent="0.3">
      <c r="A439">
        <v>258</v>
      </c>
      <c r="B439" t="str">
        <v>엔에이치엔한국사이버결제 주식회사</v>
      </c>
      <c r="C439" s="51">
        <v>46142</v>
      </c>
      <c r="D439" t="str">
        <v>4월</v>
      </c>
      <c r="E439" s="52">
        <v>5275000</v>
      </c>
      <c r="F439" t="str">
        <v>게임매출</v>
      </c>
      <c r="G439" t="str">
        <v>온라인</v>
      </c>
      <c r="H439" t="str">
        <v>NHN</v>
      </c>
      <c r="I439" t="str">
        <v>[매출/온라인] 26년 4월 KCP_러쉬</v>
      </c>
      <c r="J439">
        <v>0</v>
      </c>
    </row>
    <row r="440" spans="1:10" x14ac:dyDescent="0.3">
      <c r="A440">
        <v>259</v>
      </c>
      <c r="B440" t="str">
        <v>엔에이치엔한국사이버결제 주식회사</v>
      </c>
      <c r="C440" s="51">
        <v>46142</v>
      </c>
      <c r="D440" t="str">
        <v>4월</v>
      </c>
      <c r="E440" s="52">
        <v>1790000</v>
      </c>
      <c r="F440" t="str">
        <v>게임매출</v>
      </c>
      <c r="G440" t="str">
        <v>온라인</v>
      </c>
      <c r="H440" t="str">
        <v>NHN</v>
      </c>
      <c r="I440" t="str">
        <v>[매출/온라인] 26년 4월 KCP_낚시의신</v>
      </c>
      <c r="J440">
        <v>0</v>
      </c>
    </row>
    <row r="441" spans="1:10" x14ac:dyDescent="0.3">
      <c r="A441">
        <v>260</v>
      </c>
      <c r="B441" t="str">
        <v>엔에이치엔한국사이버결제 주식회사</v>
      </c>
      <c r="C441" s="51">
        <v>46142</v>
      </c>
      <c r="D441" t="str">
        <v>4월</v>
      </c>
      <c r="E441" s="52">
        <v>7662000</v>
      </c>
      <c r="F441" t="str">
        <v>게임매출</v>
      </c>
      <c r="G441" t="str">
        <v>온라인</v>
      </c>
      <c r="H441" t="str">
        <v>NHN</v>
      </c>
      <c r="I441" t="str">
        <v>[매출/온라인] 26년 4월 KCP_아이모</v>
      </c>
      <c r="J441">
        <v>0</v>
      </c>
    </row>
    <row r="442" spans="1:10" x14ac:dyDescent="0.3">
      <c r="A442">
        <v>261</v>
      </c>
      <c r="B442" t="str">
        <v>엔에이치엔한국사이버결제 주식회사</v>
      </c>
      <c r="C442" s="51">
        <v>46142</v>
      </c>
      <c r="D442" t="str">
        <v>4월</v>
      </c>
      <c r="E442" s="52">
        <v>70620000</v>
      </c>
      <c r="F442" t="str">
        <v>게임매출</v>
      </c>
      <c r="G442" t="str">
        <v>온라인</v>
      </c>
      <c r="H442" t="str">
        <v>NHN</v>
      </c>
      <c r="I442" t="str">
        <v>[매출/온라인] 26년 4월 KCP_MLB 9이닝스</v>
      </c>
      <c r="J442">
        <v>0</v>
      </c>
    </row>
    <row r="443" spans="1:10" x14ac:dyDescent="0.3">
      <c r="A443">
        <v>262</v>
      </c>
      <c r="B443" t="str">
        <v>엔에이치엔한국사이버결제 주식회사</v>
      </c>
      <c r="C443" s="51">
        <v>46142</v>
      </c>
      <c r="D443" t="str">
        <v>4월</v>
      </c>
      <c r="E443" s="52">
        <v>65080000</v>
      </c>
      <c r="F443" t="str">
        <v>게임매출</v>
      </c>
      <c r="G443" t="str">
        <v>온라인</v>
      </c>
      <c r="H443" t="str">
        <v>NHN</v>
      </c>
      <c r="I443" t="str">
        <v>[매출/온라인] 26년 4월 KCP_MLB 9이닝스(웹)</v>
      </c>
      <c r="J443">
        <v>0</v>
      </c>
    </row>
    <row r="444" spans="1:10" x14ac:dyDescent="0.3">
      <c r="A444">
        <v>263</v>
      </c>
      <c r="B444" t="str">
        <v>엔에이치엔한국사이버결제 주식회사</v>
      </c>
      <c r="C444" s="51">
        <v>46142</v>
      </c>
      <c r="D444" t="str">
        <v>4월</v>
      </c>
      <c r="E444" s="52">
        <v>101658728</v>
      </c>
      <c r="F444" t="str">
        <v>게임매출</v>
      </c>
      <c r="G444" t="str">
        <v>온라인</v>
      </c>
      <c r="H444" t="str">
        <v>NHN</v>
      </c>
      <c r="I444" t="str">
        <v>[매출/온라인] 26년 4월 KCP_MLB라이벌</v>
      </c>
      <c r="J444">
        <v>0</v>
      </c>
    </row>
    <row r="445" spans="1:10" x14ac:dyDescent="0.3">
      <c r="A445">
        <v>264</v>
      </c>
      <c r="B445" t="str">
        <v>엔에이치엔한국사이버결제 주식회사</v>
      </c>
      <c r="C445" s="51">
        <v>46142</v>
      </c>
      <c r="D445" t="str">
        <v>4월</v>
      </c>
      <c r="E445" s="52">
        <v>56771455</v>
      </c>
      <c r="F445" t="str">
        <v>게임매출</v>
      </c>
      <c r="G445" t="str">
        <v>온라인</v>
      </c>
      <c r="H445" t="str">
        <v>NHN</v>
      </c>
      <c r="I445" t="str">
        <v>[매출/온라인] 26년 4월 KCP_MLB라이벌(웹)</v>
      </c>
      <c r="J445">
        <v>0</v>
      </c>
    </row>
    <row r="446" spans="1:10" x14ac:dyDescent="0.3">
      <c r="A446">
        <v>265</v>
      </c>
      <c r="B446" t="str">
        <v>토스페이먼츠 주식회사</v>
      </c>
      <c r="C446" s="51">
        <v>46142</v>
      </c>
      <c r="D446" t="str">
        <v>4월</v>
      </c>
      <c r="E446" s="52">
        <v>113787364</v>
      </c>
      <c r="F446" t="str">
        <v>게임매출</v>
      </c>
      <c r="G446" t="str">
        <v>온라인</v>
      </c>
      <c r="H446" t="str">
        <v>토스페이먼츠</v>
      </c>
      <c r="I446" t="str">
        <v>[매출/온라인] 26년4월 토스페이먼츠 매출</v>
      </c>
      <c r="J446">
        <v>0</v>
      </c>
    </row>
    <row r="447" spans="1:10" x14ac:dyDescent="0.3">
      <c r="A447">
        <v>266</v>
      </c>
      <c r="B447" t="str">
        <v>네이버파이낸셜 주식회사</v>
      </c>
      <c r="C447" s="51">
        <v>46142</v>
      </c>
      <c r="D447" t="str">
        <v>4월</v>
      </c>
      <c r="E447" s="52">
        <v>79107273</v>
      </c>
      <c r="F447" t="str">
        <v>게임매출</v>
      </c>
      <c r="G447" t="str">
        <v>온라인</v>
      </c>
      <c r="H447" t="str">
        <v>네이버파이낸셜</v>
      </c>
      <c r="I447" t="str">
        <v>[매출/온라인] 26년 4월 네이버파이낸셜_컴프매</v>
      </c>
      <c r="J447">
        <v>0</v>
      </c>
    </row>
    <row r="448" spans="1:10" x14ac:dyDescent="0.3">
      <c r="A448">
        <v>267</v>
      </c>
      <c r="B448" t="str">
        <v>네이버파이낸셜 주식회사</v>
      </c>
      <c r="C448" s="51">
        <v>46142</v>
      </c>
      <c r="D448" t="str">
        <v>4월</v>
      </c>
      <c r="E448" s="52">
        <v>131700819</v>
      </c>
      <c r="F448" t="str">
        <v>게임매출</v>
      </c>
      <c r="G448" t="str">
        <v>온라인</v>
      </c>
      <c r="H448" t="str">
        <v>네이버파이낸셜</v>
      </c>
      <c r="I448" t="str">
        <v>[매출/온라인] 26년 4월 네이버파이낸셜_컴프야</v>
      </c>
      <c r="J448">
        <v>0</v>
      </c>
    </row>
    <row r="449" spans="1:10" x14ac:dyDescent="0.3">
      <c r="A449">
        <v>268</v>
      </c>
      <c r="B449" t="str">
        <v>네이버파이낸셜 주식회사</v>
      </c>
      <c r="C449" s="51">
        <v>46142</v>
      </c>
      <c r="D449" t="str">
        <v>4월</v>
      </c>
      <c r="E449" s="52">
        <v>634468728</v>
      </c>
      <c r="F449" t="str">
        <v>게임매출</v>
      </c>
      <c r="G449" t="str">
        <v>온라인</v>
      </c>
      <c r="H449" t="str">
        <v>네이버파이낸셜</v>
      </c>
      <c r="I449" t="str">
        <v>[매출/온라인] 26년 4월 네이버파이낸셜_컴프야V</v>
      </c>
      <c r="J449">
        <v>0</v>
      </c>
    </row>
    <row r="450" spans="1:10" x14ac:dyDescent="0.3">
      <c r="A450">
        <v>269</v>
      </c>
      <c r="B450" t="str">
        <v>네이버파이낸셜 주식회사</v>
      </c>
      <c r="C450" s="51">
        <v>46142</v>
      </c>
      <c r="D450" t="str">
        <v>4월</v>
      </c>
      <c r="E450" s="52">
        <v>211364</v>
      </c>
      <c r="F450" t="str">
        <v>게임매출</v>
      </c>
      <c r="G450" t="str">
        <v>온라인</v>
      </c>
      <c r="H450" t="str">
        <v>네이버파이낸셜</v>
      </c>
      <c r="I450" t="str">
        <v>[매출/온라인] 26년 4월 네이버파이낸셜_크로니클</v>
      </c>
      <c r="J450">
        <v>0</v>
      </c>
    </row>
    <row r="451" spans="1:10" x14ac:dyDescent="0.3">
      <c r="A451">
        <v>270</v>
      </c>
      <c r="B451" t="str">
        <v>주식회사 넵튠</v>
      </c>
      <c r="C451" s="51">
        <v>46142</v>
      </c>
      <c r="D451" t="str">
        <v>4월</v>
      </c>
      <c r="E451" s="52">
        <v>85241491</v>
      </c>
      <c r="F451" t="str">
        <v>게임매출</v>
      </c>
      <c r="G451" t="str">
        <v>광고</v>
      </c>
      <c r="H451" t="str">
        <v>넵튠</v>
      </c>
      <c r="I451" t="str">
        <v>[매출/광고] 26년 4월 넵튠 광고매출</v>
      </c>
      <c r="J451" t="str">
        <v>← 러쉬 Xsolla 정산</v>
      </c>
    </row>
    <row r="452" spans="1:10" x14ac:dyDescent="0.3">
      <c r="A452">
        <v>271</v>
      </c>
      <c r="B452" t="str">
        <v>GOOGLE, INC.</v>
      </c>
      <c r="C452" s="51">
        <v>46142</v>
      </c>
      <c r="D452" t="str">
        <v>4월</v>
      </c>
      <c r="E452" s="52">
        <v>6718531772</v>
      </c>
      <c r="F452" t="str">
        <v>게임매출</v>
      </c>
      <c r="G452" t="str">
        <v>모바일</v>
      </c>
      <c r="H452" t="str">
        <v>구글</v>
      </c>
      <c r="I452" t="str">
        <v>[매출/예상] 04월 구글 KR</v>
      </c>
      <c r="J452">
        <v>0</v>
      </c>
    </row>
    <row r="453" spans="1:10" x14ac:dyDescent="0.3">
      <c r="A453">
        <v>272</v>
      </c>
      <c r="B453" t="str">
        <v>GOOGLE, INC.</v>
      </c>
      <c r="C453" s="51">
        <v>46142</v>
      </c>
      <c r="D453" t="str">
        <v>4월</v>
      </c>
      <c r="E453" s="52">
        <v>882307341</v>
      </c>
      <c r="F453" t="str">
        <v>게임매출</v>
      </c>
      <c r="G453" t="str">
        <v>모바일</v>
      </c>
      <c r="H453" t="str">
        <v>구글</v>
      </c>
      <c r="I453" t="str">
        <v>[매출/예상] 04월 구글 JP</v>
      </c>
      <c r="J453">
        <v>0</v>
      </c>
    </row>
    <row r="454" spans="1:10" x14ac:dyDescent="0.3">
      <c r="A454">
        <v>273</v>
      </c>
      <c r="B454" t="str">
        <v>GOOGLE, INC.</v>
      </c>
      <c r="C454" s="51">
        <v>46142</v>
      </c>
      <c r="D454" t="str">
        <v>4월</v>
      </c>
      <c r="E454" s="52">
        <v>8379001375</v>
      </c>
      <c r="F454" t="str">
        <v>게임매출</v>
      </c>
      <c r="G454" t="str">
        <v>모바일</v>
      </c>
      <c r="H454" t="str">
        <v>구글</v>
      </c>
      <c r="I454" t="str">
        <v>[매출/예상] 04월 구글 WW</v>
      </c>
      <c r="J454">
        <v>0</v>
      </c>
    </row>
    <row r="455" spans="1:10" x14ac:dyDescent="0.3">
      <c r="A455">
        <v>274</v>
      </c>
      <c r="B455" t="str">
        <v>Apple Inc.</v>
      </c>
      <c r="C455" s="51">
        <v>46142</v>
      </c>
      <c r="D455" t="str">
        <v>4월</v>
      </c>
      <c r="E455" s="52">
        <v>4171690689</v>
      </c>
      <c r="F455" t="str">
        <v>게임매출</v>
      </c>
      <c r="G455" t="str">
        <v>모바일</v>
      </c>
      <c r="H455" t="str">
        <v>애플</v>
      </c>
      <c r="I455" t="str">
        <v>[매출/예상] 04월 애플 KR</v>
      </c>
      <c r="J455">
        <v>0</v>
      </c>
    </row>
    <row r="456" spans="1:10" x14ac:dyDescent="0.3">
      <c r="A456">
        <v>275</v>
      </c>
      <c r="B456" t="str">
        <v>Apple Inc.</v>
      </c>
      <c r="C456" s="51">
        <v>46142</v>
      </c>
      <c r="D456" t="str">
        <v>4월</v>
      </c>
      <c r="E456" s="52">
        <v>2321621031</v>
      </c>
      <c r="F456" t="str">
        <v>게임매출</v>
      </c>
      <c r="G456" t="str">
        <v>모바일</v>
      </c>
      <c r="H456" t="str">
        <v>애플</v>
      </c>
      <c r="I456" t="str">
        <v>[매출/예상] 04월 애플 JP</v>
      </c>
      <c r="J456">
        <v>0</v>
      </c>
    </row>
    <row r="457" spans="1:10" x14ac:dyDescent="0.3">
      <c r="A457">
        <v>276</v>
      </c>
      <c r="B457" t="str">
        <v>Apple Inc.</v>
      </c>
      <c r="C457" s="51">
        <v>46142</v>
      </c>
      <c r="D457" t="str">
        <v>4월</v>
      </c>
      <c r="E457" s="52">
        <v>14925594082</v>
      </c>
      <c r="F457" t="str">
        <v>게임매출</v>
      </c>
      <c r="G457" t="str">
        <v>모바일</v>
      </c>
      <c r="H457" t="str">
        <v>애플</v>
      </c>
      <c r="I457" t="str">
        <v>[매출/예상] 04월 애플 WW</v>
      </c>
      <c r="J457">
        <v>0</v>
      </c>
    </row>
    <row r="458" spans="1:10" x14ac:dyDescent="0.3">
      <c r="A458">
        <v>277</v>
      </c>
      <c r="B458" t="str">
        <v>Huawei Services (hong Kong) Co., Limited</v>
      </c>
      <c r="C458" s="51">
        <v>46142</v>
      </c>
      <c r="D458" t="str">
        <v>4월</v>
      </c>
      <c r="E458" s="52">
        <v>857562505</v>
      </c>
      <c r="F458" t="str">
        <v>게임매출</v>
      </c>
      <c r="G458" t="str">
        <v>모바일</v>
      </c>
      <c r="H458" t="str">
        <v>Huawei</v>
      </c>
      <c r="I458" t="str">
        <v>[매출/확정] 03월 화웨이</v>
      </c>
      <c r="J458">
        <v>0</v>
      </c>
    </row>
    <row r="459" spans="1:10" x14ac:dyDescent="0.3">
      <c r="A459">
        <v>278</v>
      </c>
      <c r="B459" t="str">
        <v>(주)비바리퍼블리카</v>
      </c>
      <c r="C459" s="51">
        <v>46142</v>
      </c>
      <c r="D459" t="str">
        <v>4월</v>
      </c>
      <c r="E459" s="52">
        <v>13637</v>
      </c>
      <c r="F459" t="str">
        <v>게임매출</v>
      </c>
      <c r="G459" t="str">
        <v>모바일</v>
      </c>
      <c r="H459" t="str">
        <v>비바리퍼블리카</v>
      </c>
      <c r="I459" t="str">
        <v>[매출/온라인] 26.4월 비바리퍼블리카 매출</v>
      </c>
      <c r="J459">
        <v>0</v>
      </c>
    </row>
    <row r="460" spans="1:10" x14ac:dyDescent="0.3">
      <c r="A460">
        <v>279</v>
      </c>
      <c r="B460" t="str">
        <v>Facebook, Inc.</v>
      </c>
      <c r="C460" s="51">
        <v>46142</v>
      </c>
      <c r="D460" t="str">
        <v>4월</v>
      </c>
      <c r="E460" s="52">
        <v>18579569</v>
      </c>
      <c r="F460" t="str">
        <v>게임매출</v>
      </c>
      <c r="G460" t="str">
        <v>광고</v>
      </c>
      <c r="H460" t="str">
        <v>Facebook</v>
      </c>
      <c r="I460" t="str">
        <v>[매출/광고] 2026.04 FACEBOOK 매출</v>
      </c>
      <c r="J460">
        <v>0</v>
      </c>
    </row>
    <row r="461" spans="1:10" x14ac:dyDescent="0.3">
      <c r="A461">
        <v>280</v>
      </c>
      <c r="B461" t="str">
        <v>Line Corporation</v>
      </c>
      <c r="C461" s="51">
        <v>46142</v>
      </c>
      <c r="D461" t="str">
        <v>4월</v>
      </c>
      <c r="E461" s="52">
        <v>6285</v>
      </c>
      <c r="F461" t="str">
        <v>게임매출</v>
      </c>
      <c r="G461" t="str">
        <v>광고</v>
      </c>
      <c r="H461" t="str">
        <v>Line</v>
      </c>
      <c r="I461" t="str">
        <v>[매출/광고] 2026.04 LINE 매출</v>
      </c>
      <c r="J461">
        <v>0</v>
      </c>
    </row>
    <row r="462" spans="1:10" x14ac:dyDescent="0.3">
      <c r="A462">
        <v>281</v>
      </c>
      <c r="B462" t="str">
        <v>Terminal3</v>
      </c>
      <c r="C462" s="51">
        <v>46142</v>
      </c>
      <c r="D462" t="str">
        <v>4월</v>
      </c>
      <c r="E462" s="52">
        <v>14826817</v>
      </c>
      <c r="F462" t="str">
        <v>게임매출</v>
      </c>
      <c r="G462" t="str">
        <v>온라인</v>
      </c>
      <c r="H462" t="str">
        <v>Terminal3</v>
      </c>
      <c r="I462" t="str">
        <v>[매출/온라인] 26년 04월 터미널 3_크리티카</v>
      </c>
      <c r="J462">
        <v>0</v>
      </c>
    </row>
    <row r="463" spans="1:10" x14ac:dyDescent="0.3">
      <c r="A463">
        <v>282</v>
      </c>
      <c r="B463" t="str">
        <v>Terminal3</v>
      </c>
      <c r="C463" s="51">
        <v>46142</v>
      </c>
      <c r="D463" t="str">
        <v>4월</v>
      </c>
      <c r="E463" s="52">
        <v>46228394</v>
      </c>
      <c r="F463" t="str">
        <v>게임매출</v>
      </c>
      <c r="G463" t="str">
        <v>온라인</v>
      </c>
      <c r="H463" t="str">
        <v>Terminal3</v>
      </c>
      <c r="I463" t="str">
        <v>[매출/온라인] 26년 04월 터미널 3_MLB라이벌(웹)</v>
      </c>
      <c r="J463">
        <v>0</v>
      </c>
    </row>
    <row r="464" spans="1:10" x14ac:dyDescent="0.3">
      <c r="A464">
        <v>283</v>
      </c>
      <c r="B464" t="str">
        <v>Terminal3</v>
      </c>
      <c r="C464" s="51">
        <v>46142</v>
      </c>
      <c r="D464" t="str">
        <v>4월</v>
      </c>
      <c r="E464" s="52">
        <v>99364</v>
      </c>
      <c r="F464" t="str">
        <v>게임매출</v>
      </c>
      <c r="G464" t="str">
        <v>온라인</v>
      </c>
      <c r="H464" t="str">
        <v>Terminal3</v>
      </c>
      <c r="I464" t="str">
        <v>[매출/온라인] 26년 04월 터미널3_낚시의 신_JP</v>
      </c>
      <c r="J464">
        <v>0</v>
      </c>
    </row>
    <row r="465" spans="1:10" x14ac:dyDescent="0.3">
      <c r="A465">
        <v>284</v>
      </c>
      <c r="B465" t="str">
        <v>Terminal3</v>
      </c>
      <c r="C465" s="51">
        <v>46142</v>
      </c>
      <c r="D465" t="str">
        <v>4월</v>
      </c>
      <c r="E465" s="52">
        <v>1851834</v>
      </c>
      <c r="F465" t="str">
        <v>게임매출</v>
      </c>
      <c r="G465" t="str">
        <v>온라인</v>
      </c>
      <c r="H465" t="str">
        <v>Terminal3</v>
      </c>
      <c r="I465" t="str">
        <v>[매출/온라인] 26년 04월 터미널3_낚시의 신_WW</v>
      </c>
      <c r="J465">
        <v>0</v>
      </c>
    </row>
    <row r="466" spans="1:10" x14ac:dyDescent="0.3">
      <c r="A466">
        <v>285</v>
      </c>
      <c r="B466" t="str">
        <v>Terminal3</v>
      </c>
      <c r="C466" s="51">
        <v>46142</v>
      </c>
      <c r="D466" t="str">
        <v>4월</v>
      </c>
      <c r="E466" s="52">
        <v>5219360</v>
      </c>
      <c r="F466" t="str">
        <v>게임매출</v>
      </c>
      <c r="G466" t="str">
        <v>온라인</v>
      </c>
      <c r="H466" t="str">
        <v>Terminal3</v>
      </c>
      <c r="I466" t="str">
        <v>[매출/온라인] 26년 04월 터미널3_크로니클_KR</v>
      </c>
      <c r="J466">
        <v>0</v>
      </c>
    </row>
    <row r="467" spans="1:10" x14ac:dyDescent="0.3">
      <c r="A467">
        <v>286</v>
      </c>
      <c r="B467" t="str">
        <v>Terminal3</v>
      </c>
      <c r="C467" s="51">
        <v>46142</v>
      </c>
      <c r="D467" t="str">
        <v>4월</v>
      </c>
      <c r="E467" s="52">
        <v>495382</v>
      </c>
      <c r="F467" t="str">
        <v>게임매출</v>
      </c>
      <c r="G467" t="str">
        <v>온라인</v>
      </c>
      <c r="H467" t="str">
        <v>Terminal3</v>
      </c>
      <c r="I467" t="str">
        <v>[매출/온라인] 26년 04월 터미널3_크로니클_JP</v>
      </c>
      <c r="J467">
        <v>0</v>
      </c>
    </row>
    <row r="468" spans="1:10" x14ac:dyDescent="0.3">
      <c r="A468">
        <v>287</v>
      </c>
      <c r="B468" t="str">
        <v>Terminal3</v>
      </c>
      <c r="C468" s="51">
        <v>46142</v>
      </c>
      <c r="D468" t="str">
        <v>4월</v>
      </c>
      <c r="E468" s="52">
        <v>8540601</v>
      </c>
      <c r="F468" t="str">
        <v>게임매출</v>
      </c>
      <c r="G468" t="str">
        <v>온라인</v>
      </c>
      <c r="H468" t="str">
        <v>Terminal3</v>
      </c>
      <c r="I468" t="str">
        <v>[매출/온라인] 26년 04월 터미널3_크로니클_WW</v>
      </c>
      <c r="J468">
        <v>0</v>
      </c>
    </row>
    <row r="469" spans="1:10" x14ac:dyDescent="0.3">
      <c r="A469">
        <v>288</v>
      </c>
      <c r="B469" t="str">
        <v>Terminal3</v>
      </c>
      <c r="C469" s="51">
        <v>46142</v>
      </c>
      <c r="D469" t="str">
        <v>4월</v>
      </c>
      <c r="E469" s="52">
        <v>67194</v>
      </c>
      <c r="F469" t="str">
        <v>게임매출</v>
      </c>
      <c r="G469" t="str">
        <v>온라인</v>
      </c>
      <c r="H469" t="str">
        <v>Terminal3</v>
      </c>
      <c r="I469" t="str">
        <v>[매출/온라인] 26년 4월 터미널3_크리티카 글로벌_가산</v>
      </c>
      <c r="J469">
        <v>0</v>
      </c>
    </row>
    <row r="470" spans="1:10" x14ac:dyDescent="0.3">
      <c r="A470">
        <v>289</v>
      </c>
      <c r="B470" t="str">
        <v>Paypal PTE.LTD</v>
      </c>
      <c r="C470" s="51">
        <v>46142</v>
      </c>
      <c r="D470" t="str">
        <v>4월</v>
      </c>
      <c r="E470" s="52">
        <v>67036817</v>
      </c>
      <c r="F470" t="str">
        <v>게임매출</v>
      </c>
      <c r="G470" t="str">
        <v>온라인</v>
      </c>
      <c r="H470" t="str">
        <v>Paypal</v>
      </c>
      <c r="I470" t="str">
        <v>[매출/온라인] 2026.04 페이팔_WW</v>
      </c>
      <c r="J470">
        <v>0</v>
      </c>
    </row>
    <row r="471" spans="1:10" x14ac:dyDescent="0.3">
      <c r="A471">
        <v>290</v>
      </c>
      <c r="B471" t="str">
        <v>Paypal PTE.LTD</v>
      </c>
      <c r="C471" s="51">
        <v>46142</v>
      </c>
      <c r="D471" t="str">
        <v>4월</v>
      </c>
      <c r="E471" s="52">
        <v>27169</v>
      </c>
      <c r="F471" t="str">
        <v>게임매출</v>
      </c>
      <c r="G471" t="str">
        <v>온라인</v>
      </c>
      <c r="H471" t="str">
        <v>Paypal</v>
      </c>
      <c r="I471" t="str">
        <v>[매출/온라인] 2026.04 페이팔_JP</v>
      </c>
      <c r="J471">
        <v>0</v>
      </c>
    </row>
    <row r="472" spans="1:10" x14ac:dyDescent="0.3">
      <c r="A472">
        <v>291</v>
      </c>
      <c r="B472" t="str">
        <v>SOFT-WORLD INT'L CORP.</v>
      </c>
      <c r="C472" s="51">
        <v>46142</v>
      </c>
      <c r="D472" t="str">
        <v>4월</v>
      </c>
      <c r="E472" s="52">
        <v>592031049</v>
      </c>
      <c r="F472" t="str">
        <v>게임매출</v>
      </c>
      <c r="G472" t="str">
        <v>온라인</v>
      </c>
      <c r="H472" t="str">
        <v>SOFT-WORLD</v>
      </c>
      <c r="I472" t="str">
        <v>[매출/온라인] 2026.04 마이카드 (TW)</v>
      </c>
      <c r="J472" t="str">
        <v>← 스타시드 관련 (대만/HK 카드 매출)</v>
      </c>
    </row>
    <row r="473" spans="1:10" x14ac:dyDescent="0.3">
      <c r="A473">
        <v>292</v>
      </c>
      <c r="B473" t="str">
        <v>Xsolla (USA), Inc.</v>
      </c>
      <c r="C473" s="51">
        <v>46142</v>
      </c>
      <c r="D473" t="str">
        <v>4월</v>
      </c>
      <c r="E473" s="52">
        <v>303164011</v>
      </c>
      <c r="F473" t="str">
        <v>게임매출</v>
      </c>
      <c r="G473" t="str">
        <v>모바일</v>
      </c>
      <c r="H473" t="str">
        <v>Xsolla</v>
      </c>
      <c r="I473" t="str">
        <v>[매출/온라인] 2026.04 Xsolla 매출</v>
      </c>
      <c r="J473">
        <v>0</v>
      </c>
    </row>
    <row r="474" spans="1:10" x14ac:dyDescent="0.3">
      <c r="A474">
        <v>293</v>
      </c>
      <c r="B474" t="str">
        <v>Red River Digital Technology Development Joint Sto</v>
      </c>
      <c r="C474" s="51">
        <v>46142</v>
      </c>
      <c r="D474" t="str">
        <v>4월</v>
      </c>
      <c r="E474" s="52">
        <v>64693284</v>
      </c>
      <c r="F474" t="str">
        <v>게임매출</v>
      </c>
      <c r="G474" t="str">
        <v>모바일</v>
      </c>
      <c r="H474" t="str">
        <v>Red River</v>
      </c>
      <c r="I474" t="str">
        <v>[매출] 26년 4월 Redriver 서머너즈워 베트남 매출</v>
      </c>
      <c r="J474">
        <v>0</v>
      </c>
    </row>
    <row r="475" spans="1:10" x14ac:dyDescent="0.3">
      <c r="A475">
        <v>294</v>
      </c>
      <c r="B475" t="str">
        <v>(주)밸로프(VALOFE Co., Ltd)</v>
      </c>
      <c r="C475" s="51">
        <v>46142</v>
      </c>
      <c r="D475" t="str">
        <v>4월</v>
      </c>
      <c r="E475" s="52">
        <v>821018</v>
      </c>
      <c r="F475" t="str">
        <v>게임매출</v>
      </c>
      <c r="G475" t="str">
        <v>모바일</v>
      </c>
      <c r="H475" t="str">
        <v>밸로프</v>
      </c>
      <c r="I475" t="str">
        <v>올엠 합병 자산부채 인식_루니아전기 계약금/기간손익 결산분개</v>
      </c>
      <c r="J475">
        <v>0</v>
      </c>
    </row>
    <row r="476" spans="1:10" x14ac:dyDescent="0.3">
      <c r="A476">
        <v>295</v>
      </c>
      <c r="B476" t="str">
        <v>(주)밸로프(VALOFE Co., Ltd)</v>
      </c>
      <c r="C476" s="51">
        <v>46142</v>
      </c>
      <c r="D476" t="str">
        <v>4월</v>
      </c>
      <c r="E476" s="52">
        <v>841909</v>
      </c>
      <c r="F476" t="str">
        <v>게임매출</v>
      </c>
      <c r="G476" t="str">
        <v>모바일</v>
      </c>
      <c r="H476" t="str">
        <v>밸로프</v>
      </c>
      <c r="I476" t="str">
        <v>4월/매출_로열티정산/밸로프 루니아전기 로열티 정산(2026년 4월)</v>
      </c>
      <c r="J476">
        <v>0</v>
      </c>
    </row>
    <row r="477" spans="1:10" x14ac:dyDescent="0.3">
      <c r="A477">
        <v>296</v>
      </c>
      <c r="B477" t="str">
        <v>주식회사 컴투스홀딩스</v>
      </c>
      <c r="C477" s="51">
        <v>46142</v>
      </c>
      <c r="D477" t="str">
        <v>4월</v>
      </c>
      <c r="E477" s="52">
        <v>32651198</v>
      </c>
      <c r="F477" t="str">
        <v>게임매출</v>
      </c>
      <c r="G477" t="str">
        <v>모바일</v>
      </c>
      <c r="H477" t="str">
        <v>컴투스홀딩스</v>
      </c>
      <c r="I477" t="str">
        <v>4월/매출_정산/컴투스홀딩스 크리티카 모바일 정산(2026년 4월)</v>
      </c>
      <c r="J477">
        <v>0</v>
      </c>
    </row>
    <row r="478" spans="1:10" x14ac:dyDescent="0.3">
      <c r="A478">
        <v>297</v>
      </c>
      <c r="B478" t="str">
        <v>Amazon</v>
      </c>
      <c r="C478" s="51">
        <v>46142</v>
      </c>
      <c r="D478" t="str">
        <v>4월</v>
      </c>
      <c r="E478" s="52">
        <v>751933</v>
      </c>
      <c r="F478" t="str">
        <v>게임매출</v>
      </c>
      <c r="G478" t="str">
        <v>모바일</v>
      </c>
      <c r="H478" t="str">
        <v>Amazon</v>
      </c>
      <c r="I478" t="str">
        <v>[매출/확정] 03월 아마존 EUR</v>
      </c>
      <c r="J478">
        <v>0</v>
      </c>
    </row>
    <row r="479" spans="1:10" x14ac:dyDescent="0.3">
      <c r="A479">
        <v>298</v>
      </c>
      <c r="B479" t="str">
        <v>Amazon</v>
      </c>
      <c r="C479" s="51">
        <v>46142</v>
      </c>
      <c r="D479" t="str">
        <v>4월</v>
      </c>
      <c r="E479" s="52">
        <v>29712</v>
      </c>
      <c r="F479" t="str">
        <v>게임매출</v>
      </c>
      <c r="G479" t="str">
        <v>모바일</v>
      </c>
      <c r="H479" t="str">
        <v>Amazon</v>
      </c>
      <c r="I479" t="str">
        <v>[매출/확정] 03월 아마존 GBP</v>
      </c>
      <c r="J479">
        <v>0</v>
      </c>
    </row>
    <row r="480" spans="1:10" x14ac:dyDescent="0.3">
      <c r="A480">
        <v>299</v>
      </c>
      <c r="B480" t="str">
        <v>Amazon</v>
      </c>
      <c r="C480" s="51">
        <v>46142</v>
      </c>
      <c r="D480" t="str">
        <v>4월</v>
      </c>
      <c r="E480" s="52">
        <v>22862033</v>
      </c>
      <c r="F480" t="str">
        <v>게임매출</v>
      </c>
      <c r="G480" t="str">
        <v>모바일</v>
      </c>
      <c r="H480" t="str">
        <v>Amazon</v>
      </c>
      <c r="I480" t="str">
        <v>[매출/확정] 03월 아마존 USD</v>
      </c>
      <c r="J480">
        <v>0</v>
      </c>
    </row>
    <row r="481" spans="1:10" x14ac:dyDescent="0.3">
      <c r="A481">
        <v>300</v>
      </c>
      <c r="B481" t="str">
        <v>Amazon</v>
      </c>
      <c r="C481" s="51">
        <v>46142</v>
      </c>
      <c r="D481" t="str">
        <v>4월</v>
      </c>
      <c r="E481" s="52">
        <v>688598</v>
      </c>
      <c r="F481" t="str">
        <v>게임매출</v>
      </c>
      <c r="G481" t="str">
        <v>모바일</v>
      </c>
      <c r="H481" t="str">
        <v>Amazon</v>
      </c>
      <c r="I481" t="str">
        <v>[매출/확정] 03월 아마존 JPY</v>
      </c>
      <c r="J481">
        <v>0</v>
      </c>
    </row>
    <row r="482" spans="1:10" x14ac:dyDescent="0.3">
      <c r="A482">
        <v>301</v>
      </c>
      <c r="B482" t="str">
        <v>Huawei Services (hong Kong) Co., Limited</v>
      </c>
      <c r="C482" s="51">
        <v>46142</v>
      </c>
      <c r="D482" t="str">
        <v>4월</v>
      </c>
      <c r="E482" s="52">
        <v>1124326177</v>
      </c>
      <c r="F482" t="str">
        <v>게임매출</v>
      </c>
      <c r="G482" t="str">
        <v>모바일</v>
      </c>
      <c r="H482" t="str">
        <v>Huawei</v>
      </c>
      <c r="I482" t="str">
        <v>[매출/예상] 4월 화웨이</v>
      </c>
      <c r="J482">
        <v>0</v>
      </c>
    </row>
    <row r="483" spans="1:10" x14ac:dyDescent="0.3">
      <c r="A483">
        <v>302</v>
      </c>
      <c r="B483" t="str">
        <v>Amazon</v>
      </c>
      <c r="C483" s="51">
        <v>46142</v>
      </c>
      <c r="D483" t="str">
        <v>4월</v>
      </c>
      <c r="E483" s="52">
        <v>488364</v>
      </c>
      <c r="F483" t="str">
        <v>게임매출</v>
      </c>
      <c r="G483" t="str">
        <v>모바일</v>
      </c>
      <c r="H483" t="str">
        <v>Amazon</v>
      </c>
      <c r="I483" t="str">
        <v>[매출/예상] 4월 아마존 EUR</v>
      </c>
      <c r="J483">
        <v>0</v>
      </c>
    </row>
    <row r="484" spans="1:10" x14ac:dyDescent="0.3">
      <c r="A484">
        <v>303</v>
      </c>
      <c r="B484" t="str">
        <v>Amazon</v>
      </c>
      <c r="C484" s="51">
        <v>46142</v>
      </c>
      <c r="D484" t="str">
        <v>4월</v>
      </c>
      <c r="E484" s="52">
        <v>134691</v>
      </c>
      <c r="F484" t="str">
        <v>게임매출</v>
      </c>
      <c r="G484" t="str">
        <v>모바일</v>
      </c>
      <c r="H484" t="str">
        <v>Amazon</v>
      </c>
      <c r="I484" t="str">
        <v>[매출/예상] 4월 아마존 GBP</v>
      </c>
      <c r="J484">
        <v>0</v>
      </c>
    </row>
    <row r="485" spans="1:10" x14ac:dyDescent="0.3">
      <c r="A485">
        <v>304</v>
      </c>
      <c r="B485" t="str">
        <v>Amazon</v>
      </c>
      <c r="C485" s="51">
        <v>46142</v>
      </c>
      <c r="D485" t="str">
        <v>4월</v>
      </c>
      <c r="E485" s="52">
        <v>21923980</v>
      </c>
      <c r="F485" t="str">
        <v>게임매출</v>
      </c>
      <c r="G485" t="str">
        <v>모바일</v>
      </c>
      <c r="H485" t="str">
        <v>Amazon</v>
      </c>
      <c r="I485" t="str">
        <v>[매출/예상] 4월 아마존 USD</v>
      </c>
      <c r="J485">
        <v>0</v>
      </c>
    </row>
    <row r="486" spans="1:10" x14ac:dyDescent="0.3">
      <c r="A486">
        <v>305</v>
      </c>
      <c r="B486" t="str">
        <v>Amazon</v>
      </c>
      <c r="C486" s="51">
        <v>46142</v>
      </c>
      <c r="D486" t="str">
        <v>4월</v>
      </c>
      <c r="E486" s="52">
        <v>381362</v>
      </c>
      <c r="F486" t="str">
        <v>게임매출</v>
      </c>
      <c r="G486" t="str">
        <v>모바일</v>
      </c>
      <c r="H486" t="str">
        <v>Amazon</v>
      </c>
      <c r="I486" t="str">
        <v>[매출/예상] 4월 아마존 JPY</v>
      </c>
      <c r="J486">
        <v>0</v>
      </c>
    </row>
    <row r="487" spans="1:10" x14ac:dyDescent="0.3">
      <c r="A487">
        <v>306</v>
      </c>
      <c r="B487" t="str">
        <v>Valve Corporation</v>
      </c>
      <c r="C487" s="51">
        <v>46142</v>
      </c>
      <c r="D487" t="str">
        <v>4월</v>
      </c>
      <c r="E487" s="52">
        <v>1826602402</v>
      </c>
      <c r="F487" t="str">
        <v>게임매출</v>
      </c>
      <c r="G487" t="str">
        <v>온라인</v>
      </c>
      <c r="H487" t="str">
        <v>Valve</v>
      </c>
      <c r="I487" t="str">
        <v>[매출/확정] 4월 스팀 매출</v>
      </c>
      <c r="J487">
        <v>0</v>
      </c>
    </row>
    <row r="488" spans="1:10" x14ac:dyDescent="0.3">
      <c r="A488">
        <v>307</v>
      </c>
      <c r="B488" t="str">
        <v>개인_ KT olleh 마켓</v>
      </c>
      <c r="C488" s="51">
        <v>46142</v>
      </c>
      <c r="D488" t="str">
        <v>4월</v>
      </c>
      <c r="E488" s="52">
        <v>1362233129</v>
      </c>
      <c r="F488" t="str">
        <v>게임매출</v>
      </c>
      <c r="G488" t="str">
        <v>모바일</v>
      </c>
      <c r="H488" t="str">
        <v>원스토어</v>
      </c>
      <c r="I488" t="str">
        <v>[매출] 4월 원스토어 KT</v>
      </c>
      <c r="J488" t="str">
        <v>← 원스토어</v>
      </c>
    </row>
    <row r="489" spans="1:10" x14ac:dyDescent="0.3">
      <c r="A489">
        <v>308</v>
      </c>
      <c r="B489" t="str">
        <v>개인_LG World</v>
      </c>
      <c r="C489" s="51">
        <v>46142</v>
      </c>
      <c r="D489" t="str">
        <v>4월</v>
      </c>
      <c r="E489" s="52">
        <v>859799016</v>
      </c>
      <c r="F489" t="str">
        <v>게임매출</v>
      </c>
      <c r="G489" t="str">
        <v>모바일</v>
      </c>
      <c r="H489" t="str">
        <v>원스토어</v>
      </c>
      <c r="I489" t="str">
        <v>[매출] 4월 원스토어 LG</v>
      </c>
      <c r="J489" t="str">
        <v>← 원스토어</v>
      </c>
    </row>
    <row r="490" spans="1:10" x14ac:dyDescent="0.3">
      <c r="A490">
        <v>309</v>
      </c>
      <c r="B490" t="str">
        <v>개인_SK T store</v>
      </c>
      <c r="C490" s="51">
        <v>46142</v>
      </c>
      <c r="D490" t="str">
        <v>4월</v>
      </c>
      <c r="E490" s="52">
        <v>2162084095</v>
      </c>
      <c r="F490" t="str">
        <v>게임매출</v>
      </c>
      <c r="G490" t="str">
        <v>모바일</v>
      </c>
      <c r="H490" t="str">
        <v>원스토어</v>
      </c>
      <c r="I490" t="str">
        <v>[매출] 4월 원스토어 SK</v>
      </c>
      <c r="J490" t="str">
        <v>← 원스토어</v>
      </c>
    </row>
    <row r="491" spans="1:10" x14ac:dyDescent="0.3">
      <c r="A491">
        <v>310</v>
      </c>
      <c r="B491" t="str">
        <v>원스토어 주식회사</v>
      </c>
      <c r="C491" s="51">
        <v>46142</v>
      </c>
      <c r="D491" t="str">
        <v>4월</v>
      </c>
      <c r="E491" s="52">
        <v>96720939</v>
      </c>
      <c r="F491" t="str">
        <v>게임매출</v>
      </c>
      <c r="G491" t="str">
        <v>광고</v>
      </c>
      <c r="H491" t="str">
        <v>원스토어(광고)</v>
      </c>
      <c r="I491" t="str">
        <v>[매출] 원스토어 해외 4월 매출_TW</v>
      </c>
      <c r="J491" t="str">
        <v>← 애드엑스플러스 사명 변경 (23.11)</v>
      </c>
    </row>
    <row r="492" spans="1:10" x14ac:dyDescent="0.3">
      <c r="A492">
        <v>311</v>
      </c>
      <c r="B492" t="str">
        <v>원스토어 주식회사</v>
      </c>
      <c r="C492" s="51">
        <v>46142</v>
      </c>
      <c r="D492" t="str">
        <v>4월</v>
      </c>
      <c r="E492" s="52">
        <v>50219834</v>
      </c>
      <c r="F492" t="str">
        <v>게임매출</v>
      </c>
      <c r="G492" t="str">
        <v>광고</v>
      </c>
      <c r="H492" t="str">
        <v>원스토어(광고)</v>
      </c>
      <c r="I492" t="str">
        <v>[매출] 원스토어 해외 4월 매출_USA</v>
      </c>
      <c r="J492" t="str">
        <v>← 애드엑스플러스 사명 변경 (23.11)</v>
      </c>
    </row>
    <row r="493" spans="1:10" x14ac:dyDescent="0.3">
      <c r="A493">
        <v>312</v>
      </c>
      <c r="B493" t="str">
        <v>Out of the park Developments GmbH &amp; Co.KG(OOTP)</v>
      </c>
      <c r="C493" s="51">
        <v>46142</v>
      </c>
      <c r="D493" t="str">
        <v>4월</v>
      </c>
      <c r="E493" s="52">
        <v>756457</v>
      </c>
      <c r="F493" t="str">
        <v>게임매출</v>
      </c>
      <c r="G493" t="str">
        <v>OOTP</v>
      </c>
      <c r="H493" t="str">
        <v>OOTP</v>
      </c>
      <c r="I493" t="str">
        <v>04월 / 로열티수익 / 26년 04월  OOTP 구장 로열티 KBO</v>
      </c>
      <c r="J493" t="str">
        <v>← OOTP 관련(추정손익 파일상 기타매출로 분류)</v>
      </c>
    </row>
    <row r="494" spans="1:10" x14ac:dyDescent="0.3">
      <c r="A494">
        <v>313</v>
      </c>
      <c r="B494" t="str">
        <v>Out of the park Developments GmbH &amp; Co.KG(OOTP)</v>
      </c>
      <c r="C494" s="51">
        <v>46142</v>
      </c>
      <c r="D494" t="str">
        <v>4월</v>
      </c>
      <c r="E494" s="52">
        <v>2521543</v>
      </c>
      <c r="F494" t="str">
        <v>게임매출</v>
      </c>
      <c r="G494" t="str">
        <v>OOTP</v>
      </c>
      <c r="H494" t="str">
        <v>OOTP</v>
      </c>
      <c r="I494" t="str">
        <v>04월 / 로열티수익 / 26년 04월  OOTP 구장 로열티 MLB</v>
      </c>
      <c r="J494" t="str">
        <v>← OOTP 관련(추정손익 파일상 기타매출로 분류)</v>
      </c>
    </row>
    <row r="495" spans="1:10" x14ac:dyDescent="0.3">
      <c r="A495">
        <v>314</v>
      </c>
      <c r="B495" t="str">
        <v>Apple Inc.</v>
      </c>
      <c r="C495" s="51">
        <v>46142</v>
      </c>
      <c r="D495" t="str">
        <v>4월</v>
      </c>
      <c r="E495" s="52">
        <v>3289235335</v>
      </c>
      <c r="F495" t="str">
        <v>게임매출</v>
      </c>
      <c r="G495" t="str">
        <v>모바일</v>
      </c>
      <c r="H495" t="str">
        <v>애플</v>
      </c>
      <c r="I495" t="str">
        <v>[매출/확정] 3월 애플 KR</v>
      </c>
      <c r="J495">
        <v>0</v>
      </c>
    </row>
    <row r="496" spans="1:10" x14ac:dyDescent="0.3">
      <c r="A496">
        <v>315</v>
      </c>
      <c r="B496" t="str">
        <v>Apple Inc.</v>
      </c>
      <c r="C496" s="51">
        <v>46142</v>
      </c>
      <c r="D496" t="str">
        <v>4월</v>
      </c>
      <c r="E496" s="52">
        <v>2074061068</v>
      </c>
      <c r="F496" t="str">
        <v>게임매출</v>
      </c>
      <c r="G496" t="str">
        <v>모바일</v>
      </c>
      <c r="H496" t="str">
        <v>애플</v>
      </c>
      <c r="I496" t="str">
        <v>[매출/확정] 3월 애플 JP</v>
      </c>
      <c r="J496">
        <v>0</v>
      </c>
    </row>
    <row r="497" spans="1:10" x14ac:dyDescent="0.3">
      <c r="A497">
        <v>316</v>
      </c>
      <c r="B497" t="str">
        <v>Apple Inc.</v>
      </c>
      <c r="C497" s="51">
        <v>46142</v>
      </c>
      <c r="D497" t="str">
        <v>4월</v>
      </c>
      <c r="E497" s="52">
        <v>10236899222</v>
      </c>
      <c r="F497" t="str">
        <v>게임매출</v>
      </c>
      <c r="G497" t="str">
        <v>모바일</v>
      </c>
      <c r="H497" t="str">
        <v>애플</v>
      </c>
      <c r="I497" t="str">
        <v>[매출/확정] 3월 애플 WW</v>
      </c>
      <c r="J497">
        <v>0</v>
      </c>
    </row>
    <row r="498" spans="1:10" x14ac:dyDescent="0.3">
      <c r="A498">
        <v>317</v>
      </c>
      <c r="B498" t="str">
        <v>GOOGLE, INC.</v>
      </c>
      <c r="C498" s="51">
        <v>46142</v>
      </c>
      <c r="D498" t="str">
        <v>4월</v>
      </c>
      <c r="E498" s="52">
        <v>5993479413</v>
      </c>
      <c r="F498" t="str">
        <v>게임매출</v>
      </c>
      <c r="G498" t="str">
        <v>모바일</v>
      </c>
      <c r="H498" t="str">
        <v>구글</v>
      </c>
      <c r="I498" t="str">
        <v>[매출/확정] 3월 구글 KR</v>
      </c>
      <c r="J498">
        <v>0</v>
      </c>
    </row>
    <row r="499" spans="1:10" x14ac:dyDescent="0.3">
      <c r="A499">
        <v>318</v>
      </c>
      <c r="B499" t="str">
        <v>GOOGLE, INC.</v>
      </c>
      <c r="C499" s="51">
        <v>46142</v>
      </c>
      <c r="D499" t="str">
        <v>4월</v>
      </c>
      <c r="E499" s="52">
        <v>939521600</v>
      </c>
      <c r="F499" t="str">
        <v>게임매출</v>
      </c>
      <c r="G499" t="str">
        <v>모바일</v>
      </c>
      <c r="H499" t="str">
        <v>구글</v>
      </c>
      <c r="I499" t="str">
        <v>[매출/확정] 3월 구글 JP</v>
      </c>
      <c r="J499">
        <v>0</v>
      </c>
    </row>
    <row r="500" spans="1:10" x14ac:dyDescent="0.3">
      <c r="A500">
        <v>319</v>
      </c>
      <c r="B500" t="str">
        <v>GOOGLE, INC.</v>
      </c>
      <c r="C500" s="51">
        <v>46142</v>
      </c>
      <c r="D500" t="str">
        <v>4월</v>
      </c>
      <c r="E500" s="52">
        <v>6843936520</v>
      </c>
      <c r="F500" t="str">
        <v>게임매출</v>
      </c>
      <c r="G500" t="str">
        <v>모바일</v>
      </c>
      <c r="H500" t="str">
        <v>구글</v>
      </c>
      <c r="I500" t="str">
        <v>[매출/확정] 3월 구글 WW</v>
      </c>
      <c r="J500">
        <v>0</v>
      </c>
    </row>
    <row r="501" spans="1:10" x14ac:dyDescent="0.3">
      <c r="A501">
        <v>320</v>
      </c>
      <c r="B501" t="str">
        <v>Beijing You Jie Le Communication Technology Co.,Lt</v>
      </c>
      <c r="C501" s="51">
        <v>46142</v>
      </c>
      <c r="D501" t="str">
        <v>4월</v>
      </c>
      <c r="E501" s="52">
        <v>660380514</v>
      </c>
      <c r="F501" t="str">
        <v>게임매출</v>
      </c>
      <c r="G501" t="str">
        <v>모바일</v>
      </c>
      <c r="H501" t="str">
        <v>Beijing Raymobile</v>
      </c>
      <c r="I501" t="str">
        <v>[매출] 26년 4월 Beijing YJL 매출</v>
      </c>
      <c r="J501">
        <v>0</v>
      </c>
    </row>
    <row r="502" spans="1:10" x14ac:dyDescent="0.3">
      <c r="A502">
        <v>0</v>
      </c>
      <c r="B502">
        <v>0</v>
      </c>
      <c r="C502" s="51">
        <v>0</v>
      </c>
      <c r="D502">
        <v>0</v>
      </c>
      <c r="E502" s="5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3">
      <c r="A503">
        <v>0</v>
      </c>
      <c r="B503">
        <v>0</v>
      </c>
      <c r="C503" s="51">
        <v>0</v>
      </c>
      <c r="D503">
        <v>0</v>
      </c>
      <c r="E503" s="52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3">
      <c r="A504">
        <v>0</v>
      </c>
      <c r="B504">
        <v>0</v>
      </c>
      <c r="C504" s="51">
        <v>0</v>
      </c>
      <c r="D504">
        <v>0</v>
      </c>
      <c r="E504" s="52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3">
      <c r="A505">
        <v>0</v>
      </c>
      <c r="B505">
        <v>0</v>
      </c>
      <c r="C505" s="51">
        <v>0</v>
      </c>
      <c r="D505">
        <v>0</v>
      </c>
      <c r="E505" s="52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3">
      <c r="A506">
        <v>0</v>
      </c>
      <c r="B506">
        <v>0</v>
      </c>
      <c r="C506" s="51">
        <v>0</v>
      </c>
      <c r="D506">
        <v>0</v>
      </c>
      <c r="E506" s="52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3">
      <c r="A507">
        <v>0</v>
      </c>
      <c r="B507">
        <v>0</v>
      </c>
      <c r="C507" s="51">
        <v>0</v>
      </c>
      <c r="D507">
        <v>0</v>
      </c>
      <c r="E507" s="52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3">
      <c r="A508">
        <v>0</v>
      </c>
      <c r="B508">
        <v>0</v>
      </c>
      <c r="C508" s="51">
        <v>0</v>
      </c>
      <c r="D508">
        <v>0</v>
      </c>
      <c r="E508" s="52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3">
      <c r="A509">
        <v>0</v>
      </c>
      <c r="B509">
        <v>0</v>
      </c>
      <c r="C509" s="51">
        <v>0</v>
      </c>
      <c r="D509">
        <v>0</v>
      </c>
      <c r="E509" s="52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3">
      <c r="A510">
        <v>0</v>
      </c>
      <c r="B510">
        <v>0</v>
      </c>
      <c r="C510" s="51">
        <v>0</v>
      </c>
      <c r="D510">
        <v>0</v>
      </c>
      <c r="E510" s="52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3">
      <c r="A511">
        <v>0</v>
      </c>
      <c r="B511">
        <v>0</v>
      </c>
      <c r="C511" s="51">
        <v>0</v>
      </c>
      <c r="D511">
        <v>0</v>
      </c>
      <c r="E511" s="52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3">
      <c r="A512">
        <v>0</v>
      </c>
      <c r="B512">
        <v>0</v>
      </c>
      <c r="C512" s="51">
        <v>0</v>
      </c>
      <c r="D512">
        <v>0</v>
      </c>
      <c r="E512" s="5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3">
      <c r="A513">
        <v>0</v>
      </c>
      <c r="B513">
        <v>0</v>
      </c>
      <c r="C513" s="51">
        <v>0</v>
      </c>
      <c r="D513">
        <v>0</v>
      </c>
      <c r="E513" s="52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3">
      <c r="A514">
        <v>0</v>
      </c>
      <c r="B514">
        <v>0</v>
      </c>
      <c r="C514" s="51">
        <v>0</v>
      </c>
      <c r="D514">
        <v>0</v>
      </c>
      <c r="E514" s="52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3">
      <c r="A515">
        <v>0</v>
      </c>
      <c r="B515">
        <v>0</v>
      </c>
      <c r="C515" s="51">
        <v>0</v>
      </c>
      <c r="D515">
        <v>0</v>
      </c>
      <c r="E515" s="52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3">
      <c r="A516">
        <v>0</v>
      </c>
      <c r="B516">
        <v>0</v>
      </c>
      <c r="C516" s="51">
        <v>0</v>
      </c>
      <c r="D516">
        <v>0</v>
      </c>
      <c r="E516" s="52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3">
      <c r="A517">
        <v>0</v>
      </c>
      <c r="B517">
        <v>0</v>
      </c>
      <c r="C517" s="51">
        <v>0</v>
      </c>
      <c r="D517">
        <v>0</v>
      </c>
      <c r="E517" s="52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3">
      <c r="A518">
        <v>0</v>
      </c>
      <c r="B518">
        <v>0</v>
      </c>
      <c r="C518" s="51">
        <v>0</v>
      </c>
      <c r="D518">
        <v>0</v>
      </c>
      <c r="E518" s="52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3">
      <c r="A519">
        <v>0</v>
      </c>
      <c r="B519">
        <v>0</v>
      </c>
      <c r="C519" s="51">
        <v>0</v>
      </c>
      <c r="D519">
        <v>0</v>
      </c>
      <c r="E519" s="52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3">
      <c r="A520">
        <v>0</v>
      </c>
      <c r="B520">
        <v>0</v>
      </c>
      <c r="C520" s="51">
        <v>0</v>
      </c>
      <c r="D520">
        <v>0</v>
      </c>
      <c r="E520" s="52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3">
      <c r="A521">
        <v>0</v>
      </c>
      <c r="B521">
        <v>0</v>
      </c>
      <c r="C521" s="51">
        <v>0</v>
      </c>
      <c r="D521">
        <v>0</v>
      </c>
      <c r="E521" s="52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3">
      <c r="A522">
        <v>0</v>
      </c>
      <c r="B522">
        <v>0</v>
      </c>
      <c r="C522" s="51">
        <v>0</v>
      </c>
      <c r="D522">
        <v>0</v>
      </c>
      <c r="E522" s="5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3">
      <c r="A523">
        <v>0</v>
      </c>
      <c r="B523">
        <v>0</v>
      </c>
      <c r="C523" s="51">
        <v>0</v>
      </c>
      <c r="D523">
        <v>0</v>
      </c>
      <c r="E523" s="52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3">
      <c r="A524">
        <v>0</v>
      </c>
      <c r="B524">
        <v>0</v>
      </c>
      <c r="C524" s="51">
        <v>0</v>
      </c>
      <c r="D524">
        <v>0</v>
      </c>
      <c r="E524" s="52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3">
      <c r="A525">
        <v>0</v>
      </c>
      <c r="B525">
        <v>0</v>
      </c>
      <c r="C525" s="51">
        <v>0</v>
      </c>
      <c r="D525">
        <v>0</v>
      </c>
      <c r="E525" s="52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3">
      <c r="A526">
        <v>0</v>
      </c>
      <c r="B526">
        <v>0</v>
      </c>
      <c r="C526" s="51">
        <v>0</v>
      </c>
      <c r="D526">
        <v>0</v>
      </c>
      <c r="E526" s="52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3">
      <c r="A527">
        <v>0</v>
      </c>
      <c r="B527">
        <v>0</v>
      </c>
      <c r="C527" s="51">
        <v>0</v>
      </c>
      <c r="D527">
        <v>0</v>
      </c>
      <c r="E527" s="52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3">
      <c r="A528">
        <v>0</v>
      </c>
      <c r="B528">
        <v>0</v>
      </c>
      <c r="C528" s="51">
        <v>0</v>
      </c>
      <c r="D528">
        <v>0</v>
      </c>
      <c r="E528" s="52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3">
      <c r="A529">
        <v>0</v>
      </c>
      <c r="B529">
        <v>0</v>
      </c>
      <c r="C529" s="51">
        <v>0</v>
      </c>
      <c r="D529">
        <v>0</v>
      </c>
      <c r="E529" s="52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3">
      <c r="A530">
        <v>0</v>
      </c>
      <c r="B530">
        <v>0</v>
      </c>
      <c r="C530" s="51">
        <v>0</v>
      </c>
      <c r="D530">
        <v>0</v>
      </c>
      <c r="E530" s="52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3">
      <c r="A531">
        <v>0</v>
      </c>
      <c r="B531">
        <v>0</v>
      </c>
      <c r="C531" s="51">
        <v>0</v>
      </c>
      <c r="D531">
        <v>0</v>
      </c>
      <c r="E531" s="52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3">
      <c r="A532">
        <v>0</v>
      </c>
      <c r="B532">
        <v>0</v>
      </c>
      <c r="C532" s="51">
        <v>0</v>
      </c>
      <c r="D532">
        <v>0</v>
      </c>
      <c r="E532" s="5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3">
      <c r="A533">
        <v>0</v>
      </c>
      <c r="B533">
        <v>0</v>
      </c>
      <c r="C533" s="51">
        <v>0</v>
      </c>
      <c r="D533">
        <v>0</v>
      </c>
      <c r="E533" s="52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3">
      <c r="A534">
        <v>0</v>
      </c>
      <c r="B534">
        <v>0</v>
      </c>
      <c r="C534" s="51">
        <v>0</v>
      </c>
      <c r="D534">
        <v>0</v>
      </c>
      <c r="E534" s="52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3">
      <c r="A535">
        <v>0</v>
      </c>
      <c r="B535">
        <v>0</v>
      </c>
      <c r="C535" s="51">
        <v>0</v>
      </c>
      <c r="D535">
        <v>0</v>
      </c>
      <c r="E535" s="52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3">
      <c r="A536">
        <v>0</v>
      </c>
      <c r="B536">
        <v>0</v>
      </c>
      <c r="C536" s="51">
        <v>0</v>
      </c>
      <c r="D536">
        <v>0</v>
      </c>
      <c r="E536" s="52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3">
      <c r="A537">
        <v>0</v>
      </c>
      <c r="B537">
        <v>0</v>
      </c>
      <c r="C537" s="51">
        <v>0</v>
      </c>
      <c r="D537">
        <v>0</v>
      </c>
      <c r="E537" s="52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3">
      <c r="A538">
        <v>0</v>
      </c>
      <c r="B538">
        <v>0</v>
      </c>
      <c r="C538" s="51">
        <v>0</v>
      </c>
      <c r="D538">
        <v>0</v>
      </c>
      <c r="E538" s="52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3">
      <c r="A539">
        <v>0</v>
      </c>
      <c r="B539">
        <v>0</v>
      </c>
      <c r="C539" s="51">
        <v>0</v>
      </c>
      <c r="D539">
        <v>0</v>
      </c>
      <c r="E539" s="52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3">
      <c r="A540">
        <v>0</v>
      </c>
      <c r="B540">
        <v>0</v>
      </c>
      <c r="C540" s="51">
        <v>0</v>
      </c>
      <c r="D540">
        <v>0</v>
      </c>
      <c r="E540" s="52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3">
      <c r="A541">
        <v>0</v>
      </c>
      <c r="B541">
        <v>0</v>
      </c>
      <c r="C541" s="51">
        <v>0</v>
      </c>
      <c r="D541">
        <v>0</v>
      </c>
      <c r="E541" s="52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3">
      <c r="A542">
        <v>0</v>
      </c>
      <c r="B542">
        <v>0</v>
      </c>
      <c r="C542" s="51">
        <v>0</v>
      </c>
      <c r="D542">
        <v>0</v>
      </c>
      <c r="E542" s="5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3">
      <c r="A543">
        <v>0</v>
      </c>
      <c r="B543">
        <v>0</v>
      </c>
      <c r="C543" s="51">
        <v>0</v>
      </c>
      <c r="D543">
        <v>0</v>
      </c>
      <c r="E543" s="52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3">
      <c r="A544">
        <v>0</v>
      </c>
      <c r="B544">
        <v>0</v>
      </c>
      <c r="C544" s="51">
        <v>0</v>
      </c>
      <c r="D544">
        <v>0</v>
      </c>
      <c r="E544" s="52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3">
      <c r="A545">
        <v>0</v>
      </c>
      <c r="B545">
        <v>0</v>
      </c>
      <c r="C545" s="51">
        <v>0</v>
      </c>
      <c r="D545">
        <v>0</v>
      </c>
      <c r="E545" s="52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3">
      <c r="A546">
        <v>0</v>
      </c>
      <c r="B546">
        <v>0</v>
      </c>
      <c r="C546" s="51">
        <v>0</v>
      </c>
      <c r="D546">
        <v>0</v>
      </c>
      <c r="E546" s="52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3">
      <c r="A547">
        <v>0</v>
      </c>
      <c r="B547">
        <v>0</v>
      </c>
      <c r="C547" s="51">
        <v>0</v>
      </c>
      <c r="D547">
        <v>0</v>
      </c>
      <c r="E547" s="52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3">
      <c r="A548">
        <v>0</v>
      </c>
      <c r="B548">
        <v>0</v>
      </c>
      <c r="C548" s="51">
        <v>0</v>
      </c>
      <c r="D548">
        <v>0</v>
      </c>
      <c r="E548" s="52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3">
      <c r="A549">
        <v>0</v>
      </c>
      <c r="B549">
        <v>0</v>
      </c>
      <c r="C549" s="51">
        <v>0</v>
      </c>
      <c r="D549">
        <v>0</v>
      </c>
      <c r="E549" s="52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3">
      <c r="A550">
        <v>0</v>
      </c>
      <c r="B550">
        <v>0</v>
      </c>
      <c r="C550" s="51">
        <v>0</v>
      </c>
      <c r="D550">
        <v>0</v>
      </c>
      <c r="E550" s="52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3">
      <c r="A551">
        <v>0</v>
      </c>
      <c r="B551">
        <v>0</v>
      </c>
      <c r="C551" s="51">
        <v>0</v>
      </c>
      <c r="D551">
        <v>0</v>
      </c>
      <c r="E551" s="52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3">
      <c r="A552">
        <v>0</v>
      </c>
      <c r="B552">
        <v>0</v>
      </c>
      <c r="C552" s="51">
        <v>0</v>
      </c>
      <c r="D552">
        <v>0</v>
      </c>
      <c r="E552" s="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3">
      <c r="A553">
        <v>0</v>
      </c>
      <c r="B553">
        <v>0</v>
      </c>
      <c r="C553" s="51">
        <v>0</v>
      </c>
      <c r="D553">
        <v>0</v>
      </c>
      <c r="E553" s="52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3">
      <c r="A554">
        <v>0</v>
      </c>
      <c r="B554">
        <v>0</v>
      </c>
      <c r="C554" s="51">
        <v>0</v>
      </c>
      <c r="D554">
        <v>0</v>
      </c>
      <c r="E554" s="52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3">
      <c r="A555">
        <v>0</v>
      </c>
      <c r="B555">
        <v>0</v>
      </c>
      <c r="C555" s="51">
        <v>0</v>
      </c>
      <c r="D555">
        <v>0</v>
      </c>
      <c r="E555" s="52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3">
      <c r="A556">
        <v>0</v>
      </c>
      <c r="B556">
        <v>0</v>
      </c>
      <c r="C556" s="51">
        <v>0</v>
      </c>
      <c r="D556">
        <v>0</v>
      </c>
      <c r="E556" s="52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3">
      <c r="A557">
        <v>0</v>
      </c>
      <c r="B557">
        <v>0</v>
      </c>
      <c r="C557" s="51">
        <v>0</v>
      </c>
      <c r="D557">
        <v>0</v>
      </c>
      <c r="E557" s="52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3">
      <c r="A558">
        <v>0</v>
      </c>
      <c r="B558">
        <v>0</v>
      </c>
      <c r="C558" s="51">
        <v>0</v>
      </c>
      <c r="D558">
        <v>0</v>
      </c>
      <c r="E558" s="52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3">
      <c r="A559">
        <v>0</v>
      </c>
      <c r="B559">
        <v>0</v>
      </c>
      <c r="C559" s="51">
        <v>0</v>
      </c>
      <c r="D559">
        <v>0</v>
      </c>
      <c r="E559" s="52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3">
      <c r="A560">
        <v>0</v>
      </c>
      <c r="B560">
        <v>0</v>
      </c>
      <c r="C560" s="51">
        <v>0</v>
      </c>
      <c r="D560">
        <v>0</v>
      </c>
      <c r="E560" s="52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3">
      <c r="A561">
        <v>0</v>
      </c>
      <c r="B561">
        <v>0</v>
      </c>
      <c r="C561" s="51">
        <v>0</v>
      </c>
      <c r="D561">
        <v>0</v>
      </c>
      <c r="E561" s="52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3">
      <c r="A562">
        <v>0</v>
      </c>
      <c r="B562">
        <v>0</v>
      </c>
      <c r="C562" s="51">
        <v>0</v>
      </c>
      <c r="D562">
        <v>0</v>
      </c>
      <c r="E562" s="5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3">
      <c r="A563">
        <v>0</v>
      </c>
      <c r="B563">
        <v>0</v>
      </c>
      <c r="C563" s="51">
        <v>0</v>
      </c>
      <c r="D563">
        <v>0</v>
      </c>
      <c r="E563" s="52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3">
      <c r="A564">
        <v>0</v>
      </c>
      <c r="B564">
        <v>0</v>
      </c>
      <c r="C564" s="51">
        <v>0</v>
      </c>
      <c r="D564">
        <v>0</v>
      </c>
      <c r="E564" s="52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3">
      <c r="A565">
        <v>0</v>
      </c>
      <c r="B565">
        <v>0</v>
      </c>
      <c r="C565" s="51">
        <v>0</v>
      </c>
      <c r="D565">
        <v>0</v>
      </c>
      <c r="E565" s="52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3">
      <c r="A566">
        <v>0</v>
      </c>
      <c r="B566">
        <v>0</v>
      </c>
      <c r="C566" s="51">
        <v>0</v>
      </c>
      <c r="D566">
        <v>0</v>
      </c>
      <c r="E566" s="52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3">
      <c r="A567">
        <v>0</v>
      </c>
      <c r="B567">
        <v>0</v>
      </c>
      <c r="C567" s="51">
        <v>0</v>
      </c>
      <c r="D567">
        <v>0</v>
      </c>
      <c r="E567" s="52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3">
      <c r="A568">
        <v>0</v>
      </c>
      <c r="B568">
        <v>0</v>
      </c>
      <c r="C568" s="51">
        <v>0</v>
      </c>
      <c r="D568">
        <v>0</v>
      </c>
      <c r="E568" s="52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3">
      <c r="A569">
        <v>0</v>
      </c>
      <c r="B569">
        <v>0</v>
      </c>
      <c r="C569" s="51">
        <v>0</v>
      </c>
      <c r="D569">
        <v>0</v>
      </c>
      <c r="E569" s="52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3">
      <c r="A570">
        <v>0</v>
      </c>
      <c r="B570">
        <v>0</v>
      </c>
      <c r="C570" s="51">
        <v>0</v>
      </c>
      <c r="D570">
        <v>0</v>
      </c>
      <c r="E570" s="52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3">
      <c r="A571">
        <v>0</v>
      </c>
      <c r="B571">
        <v>0</v>
      </c>
      <c r="C571" s="51">
        <v>0</v>
      </c>
      <c r="D571">
        <v>0</v>
      </c>
      <c r="E571" s="52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3">
      <c r="A572">
        <v>0</v>
      </c>
      <c r="B572">
        <v>0</v>
      </c>
      <c r="C572" s="51">
        <v>0</v>
      </c>
      <c r="D572">
        <v>0</v>
      </c>
      <c r="E572" s="5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3">
      <c r="A573">
        <v>0</v>
      </c>
      <c r="B573">
        <v>0</v>
      </c>
      <c r="C573" s="51">
        <v>0</v>
      </c>
      <c r="D573">
        <v>0</v>
      </c>
      <c r="E573" s="52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3">
      <c r="A574">
        <v>0</v>
      </c>
      <c r="B574">
        <v>0</v>
      </c>
      <c r="C574" s="51">
        <v>0</v>
      </c>
      <c r="D574">
        <v>0</v>
      </c>
      <c r="E574" s="52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3">
      <c r="A575">
        <v>0</v>
      </c>
      <c r="B575">
        <v>0</v>
      </c>
      <c r="C575" s="51">
        <v>0</v>
      </c>
      <c r="D575">
        <v>0</v>
      </c>
      <c r="E575" s="52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3">
      <c r="A576">
        <v>0</v>
      </c>
      <c r="B576">
        <v>0</v>
      </c>
      <c r="C576" s="51">
        <v>0</v>
      </c>
      <c r="D576">
        <v>0</v>
      </c>
      <c r="E576" s="52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3">
      <c r="A577">
        <v>0</v>
      </c>
      <c r="B577">
        <v>0</v>
      </c>
      <c r="C577" s="51">
        <v>0</v>
      </c>
      <c r="D577">
        <v>0</v>
      </c>
      <c r="E577" s="52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3">
      <c r="A578">
        <v>0</v>
      </c>
      <c r="B578">
        <v>0</v>
      </c>
      <c r="C578" s="51">
        <v>0</v>
      </c>
      <c r="D578">
        <v>0</v>
      </c>
      <c r="E578" s="52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3">
      <c r="A579">
        <v>0</v>
      </c>
      <c r="B579">
        <v>0</v>
      </c>
      <c r="C579" s="51">
        <v>0</v>
      </c>
      <c r="D579">
        <v>0</v>
      </c>
      <c r="E579" s="52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3">
      <c r="A580">
        <v>0</v>
      </c>
      <c r="B580">
        <v>0</v>
      </c>
      <c r="C580" s="51">
        <v>0</v>
      </c>
      <c r="D580">
        <v>0</v>
      </c>
      <c r="E580" s="52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3">
      <c r="A581">
        <v>0</v>
      </c>
      <c r="B581">
        <v>0</v>
      </c>
      <c r="C581" s="51">
        <v>0</v>
      </c>
      <c r="D581">
        <v>0</v>
      </c>
      <c r="E581" s="52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3">
      <c r="A582">
        <v>0</v>
      </c>
      <c r="B582">
        <v>0</v>
      </c>
      <c r="C582" s="51">
        <v>0</v>
      </c>
      <c r="D582">
        <v>0</v>
      </c>
      <c r="E582" s="5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3">
      <c r="A583">
        <v>0</v>
      </c>
      <c r="B583">
        <v>0</v>
      </c>
      <c r="C583" s="51">
        <v>0</v>
      </c>
      <c r="D583">
        <v>0</v>
      </c>
      <c r="E583" s="52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3">
      <c r="A584">
        <v>0</v>
      </c>
      <c r="B584">
        <v>0</v>
      </c>
      <c r="C584" s="51">
        <v>0</v>
      </c>
      <c r="D584">
        <v>0</v>
      </c>
      <c r="E584" s="52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3">
      <c r="A585">
        <v>0</v>
      </c>
      <c r="B585">
        <v>0</v>
      </c>
      <c r="C585" s="51">
        <v>0</v>
      </c>
      <c r="D585">
        <v>0</v>
      </c>
      <c r="E585" s="52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3">
      <c r="A586">
        <v>0</v>
      </c>
      <c r="B586">
        <v>0</v>
      </c>
      <c r="C586" s="51">
        <v>0</v>
      </c>
      <c r="D586">
        <v>0</v>
      </c>
      <c r="E586" s="52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3">
      <c r="A587">
        <v>0</v>
      </c>
      <c r="B587">
        <v>0</v>
      </c>
      <c r="C587" s="51">
        <v>0</v>
      </c>
      <c r="D587">
        <v>0</v>
      </c>
      <c r="E587" s="52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3">
      <c r="A588">
        <v>0</v>
      </c>
      <c r="B588">
        <v>0</v>
      </c>
      <c r="C588" s="51">
        <v>0</v>
      </c>
      <c r="D588">
        <v>0</v>
      </c>
      <c r="E588" s="52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3">
      <c r="A589">
        <v>0</v>
      </c>
      <c r="B589">
        <v>0</v>
      </c>
      <c r="C589" s="51">
        <v>0</v>
      </c>
      <c r="D589">
        <v>0</v>
      </c>
      <c r="E589" s="52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3">
      <c r="A590">
        <v>0</v>
      </c>
      <c r="B590">
        <v>0</v>
      </c>
      <c r="C590" s="51">
        <v>0</v>
      </c>
      <c r="D590">
        <v>0</v>
      </c>
      <c r="E590" s="52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3">
      <c r="A591">
        <v>0</v>
      </c>
      <c r="B591">
        <v>0</v>
      </c>
      <c r="C591" s="51">
        <v>0</v>
      </c>
      <c r="D591">
        <v>0</v>
      </c>
      <c r="E591" s="52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3">
      <c r="A592">
        <v>0</v>
      </c>
      <c r="B592">
        <v>0</v>
      </c>
      <c r="C592" s="51">
        <v>0</v>
      </c>
      <c r="D592">
        <v>0</v>
      </c>
      <c r="E592" s="5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3">
      <c r="A593">
        <v>0</v>
      </c>
      <c r="B593">
        <v>0</v>
      </c>
      <c r="C593" s="51">
        <v>0</v>
      </c>
      <c r="D593">
        <v>0</v>
      </c>
      <c r="E593" s="52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3">
      <c r="A594">
        <v>0</v>
      </c>
      <c r="B594">
        <v>0</v>
      </c>
      <c r="C594" s="51">
        <v>0</v>
      </c>
      <c r="D594">
        <v>0</v>
      </c>
      <c r="E594" s="52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3">
      <c r="A595">
        <v>0</v>
      </c>
      <c r="B595">
        <v>0</v>
      </c>
      <c r="C595" s="51">
        <v>0</v>
      </c>
      <c r="D595">
        <v>0</v>
      </c>
      <c r="E595" s="52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3">
      <c r="A596">
        <v>0</v>
      </c>
      <c r="B596">
        <v>0</v>
      </c>
      <c r="C596" s="51">
        <v>0</v>
      </c>
      <c r="D596">
        <v>0</v>
      </c>
      <c r="E596" s="52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3">
      <c r="A597">
        <v>0</v>
      </c>
      <c r="B597">
        <v>0</v>
      </c>
      <c r="C597" s="51">
        <v>0</v>
      </c>
      <c r="D597">
        <v>0</v>
      </c>
      <c r="E597" s="52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3">
      <c r="A598">
        <v>0</v>
      </c>
      <c r="B598">
        <v>0</v>
      </c>
      <c r="C598" s="51">
        <v>0</v>
      </c>
      <c r="D598">
        <v>0</v>
      </c>
      <c r="E598" s="52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3">
      <c r="A599">
        <v>0</v>
      </c>
      <c r="B599">
        <v>0</v>
      </c>
      <c r="C599" s="51">
        <v>0</v>
      </c>
      <c r="D599">
        <v>0</v>
      </c>
      <c r="E599" s="52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3">
      <c r="A600">
        <v>0</v>
      </c>
      <c r="B600">
        <v>0</v>
      </c>
      <c r="C600" s="51">
        <v>0</v>
      </c>
      <c r="D600">
        <v>0</v>
      </c>
      <c r="E600" s="52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3">
      <c r="A601">
        <v>0</v>
      </c>
      <c r="B601">
        <v>0</v>
      </c>
      <c r="C601" s="51">
        <v>0</v>
      </c>
      <c r="D601">
        <v>0</v>
      </c>
      <c r="E601" s="52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3">
      <c r="A602">
        <v>0</v>
      </c>
      <c r="B602">
        <v>0</v>
      </c>
      <c r="C602" s="51">
        <v>0</v>
      </c>
      <c r="D602">
        <v>0</v>
      </c>
      <c r="E602" s="5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3">
      <c r="A603">
        <v>0</v>
      </c>
      <c r="B603">
        <v>0</v>
      </c>
      <c r="C603" s="51">
        <v>0</v>
      </c>
      <c r="D603">
        <v>0</v>
      </c>
      <c r="E603" s="52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3">
      <c r="A604">
        <v>0</v>
      </c>
      <c r="B604">
        <v>0</v>
      </c>
      <c r="C604" s="51">
        <v>0</v>
      </c>
      <c r="D604">
        <v>0</v>
      </c>
      <c r="E604" s="52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3">
      <c r="A605">
        <v>0</v>
      </c>
      <c r="B605">
        <v>0</v>
      </c>
      <c r="C605" s="51">
        <v>0</v>
      </c>
      <c r="D605">
        <v>0</v>
      </c>
      <c r="E605" s="52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3">
      <c r="A606">
        <v>0</v>
      </c>
      <c r="B606">
        <v>0</v>
      </c>
      <c r="C606" s="51">
        <v>0</v>
      </c>
      <c r="D606">
        <v>0</v>
      </c>
      <c r="E606" s="52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3">
      <c r="A607">
        <v>0</v>
      </c>
      <c r="B607">
        <v>0</v>
      </c>
      <c r="C607" s="51">
        <v>0</v>
      </c>
      <c r="D607">
        <v>0</v>
      </c>
      <c r="E607" s="52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3">
      <c r="A608">
        <v>0</v>
      </c>
      <c r="B608">
        <v>0</v>
      </c>
      <c r="C608" s="51">
        <v>0</v>
      </c>
      <c r="D608">
        <v>0</v>
      </c>
      <c r="E608" s="52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3">
      <c r="A609">
        <v>0</v>
      </c>
      <c r="B609">
        <v>0</v>
      </c>
      <c r="C609" s="51">
        <v>0</v>
      </c>
      <c r="D609">
        <v>0</v>
      </c>
      <c r="E609" s="52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3">
      <c r="A610">
        <v>0</v>
      </c>
      <c r="B610">
        <v>0</v>
      </c>
      <c r="C610" s="51">
        <v>0</v>
      </c>
      <c r="D610">
        <v>0</v>
      </c>
      <c r="E610" s="52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3">
      <c r="A611">
        <v>0</v>
      </c>
      <c r="B611">
        <v>0</v>
      </c>
      <c r="C611" s="51">
        <v>0</v>
      </c>
      <c r="D611">
        <v>0</v>
      </c>
      <c r="E611" s="52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 x14ac:dyDescent="0.3">
      <c r="A612">
        <v>0</v>
      </c>
      <c r="B612">
        <v>0</v>
      </c>
      <c r="C612" s="51">
        <v>0</v>
      </c>
      <c r="D612">
        <v>0</v>
      </c>
      <c r="E612" s="5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x14ac:dyDescent="0.3">
      <c r="A613">
        <v>0</v>
      </c>
      <c r="B613">
        <v>0</v>
      </c>
      <c r="C613" s="51">
        <v>0</v>
      </c>
      <c r="D613">
        <v>0</v>
      </c>
      <c r="E613" s="52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3">
      <c r="A614">
        <v>0</v>
      </c>
      <c r="B614">
        <v>0</v>
      </c>
      <c r="C614" s="51">
        <v>0</v>
      </c>
      <c r="D614">
        <v>0</v>
      </c>
      <c r="E614" s="52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3">
      <c r="A615">
        <v>0</v>
      </c>
      <c r="B615">
        <v>0</v>
      </c>
      <c r="C615" s="51">
        <v>0</v>
      </c>
      <c r="D615">
        <v>0</v>
      </c>
      <c r="E615" s="52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3">
      <c r="A616">
        <v>0</v>
      </c>
      <c r="B616">
        <v>0</v>
      </c>
      <c r="C616" s="51">
        <v>0</v>
      </c>
      <c r="D616">
        <v>0</v>
      </c>
      <c r="E616" s="52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3">
      <c r="A617">
        <v>0</v>
      </c>
      <c r="B617">
        <v>0</v>
      </c>
      <c r="C617" s="51">
        <v>0</v>
      </c>
      <c r="D617">
        <v>0</v>
      </c>
      <c r="E617" s="52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x14ac:dyDescent="0.3">
      <c r="A618">
        <v>0</v>
      </c>
      <c r="B618">
        <v>0</v>
      </c>
      <c r="C618" s="51">
        <v>0</v>
      </c>
      <c r="D618">
        <v>0</v>
      </c>
      <c r="E618" s="52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 x14ac:dyDescent="0.3">
      <c r="A619">
        <v>0</v>
      </c>
      <c r="B619">
        <v>0</v>
      </c>
      <c r="C619" s="51">
        <v>0</v>
      </c>
      <c r="D619">
        <v>0</v>
      </c>
      <c r="E619" s="52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x14ac:dyDescent="0.3">
      <c r="A620">
        <v>0</v>
      </c>
      <c r="B620">
        <v>0</v>
      </c>
      <c r="C620" s="51">
        <v>0</v>
      </c>
      <c r="D620">
        <v>0</v>
      </c>
      <c r="E620" s="52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3">
      <c r="A621">
        <v>0</v>
      </c>
      <c r="B621">
        <v>0</v>
      </c>
      <c r="C621" s="51">
        <v>0</v>
      </c>
      <c r="D621">
        <v>0</v>
      </c>
      <c r="E621" s="52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3">
      <c r="A622">
        <v>0</v>
      </c>
      <c r="B622">
        <v>0</v>
      </c>
      <c r="C622" s="51">
        <v>0</v>
      </c>
      <c r="D622">
        <v>0</v>
      </c>
      <c r="E622" s="5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3">
      <c r="A623">
        <v>0</v>
      </c>
      <c r="B623">
        <v>0</v>
      </c>
      <c r="C623" s="51">
        <v>0</v>
      </c>
      <c r="D623">
        <v>0</v>
      </c>
      <c r="E623" s="52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3">
      <c r="A624">
        <v>0</v>
      </c>
      <c r="B624">
        <v>0</v>
      </c>
      <c r="C624" s="51">
        <v>0</v>
      </c>
      <c r="D624">
        <v>0</v>
      </c>
      <c r="E624" s="52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3">
      <c r="A625">
        <v>0</v>
      </c>
      <c r="B625">
        <v>0</v>
      </c>
      <c r="C625" s="51">
        <v>0</v>
      </c>
      <c r="D625">
        <v>0</v>
      </c>
      <c r="E625" s="52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3">
      <c r="A626">
        <v>0</v>
      </c>
      <c r="B626">
        <v>0</v>
      </c>
      <c r="C626" s="51">
        <v>0</v>
      </c>
      <c r="D626">
        <v>0</v>
      </c>
      <c r="E626" s="52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3">
      <c r="A627">
        <v>0</v>
      </c>
      <c r="B627">
        <v>0</v>
      </c>
      <c r="C627" s="51">
        <v>0</v>
      </c>
      <c r="D627">
        <v>0</v>
      </c>
      <c r="E627" s="52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3">
      <c r="A628">
        <v>0</v>
      </c>
      <c r="B628">
        <v>0</v>
      </c>
      <c r="C628" s="51">
        <v>0</v>
      </c>
      <c r="D628">
        <v>0</v>
      </c>
      <c r="E628" s="52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3">
      <c r="A629">
        <v>0</v>
      </c>
      <c r="B629">
        <v>0</v>
      </c>
      <c r="C629" s="51">
        <v>0</v>
      </c>
      <c r="D629">
        <v>0</v>
      </c>
      <c r="E629" s="52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3">
      <c r="A630">
        <v>0</v>
      </c>
      <c r="B630">
        <v>0</v>
      </c>
      <c r="C630" s="51">
        <v>0</v>
      </c>
      <c r="D630">
        <v>0</v>
      </c>
      <c r="E630" s="52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3">
      <c r="A631">
        <v>0</v>
      </c>
      <c r="B631">
        <v>0</v>
      </c>
      <c r="C631" s="51">
        <v>0</v>
      </c>
      <c r="D631">
        <v>0</v>
      </c>
      <c r="E631" s="52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3">
      <c r="A632">
        <v>0</v>
      </c>
      <c r="B632">
        <v>0</v>
      </c>
      <c r="C632" s="51">
        <v>0</v>
      </c>
      <c r="D632">
        <v>0</v>
      </c>
      <c r="E632" s="5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3">
      <c r="A633">
        <v>0</v>
      </c>
      <c r="B633">
        <v>0</v>
      </c>
      <c r="C633" s="51">
        <v>0</v>
      </c>
      <c r="D633">
        <v>0</v>
      </c>
      <c r="E633" s="52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3">
      <c r="A634">
        <v>0</v>
      </c>
      <c r="B634">
        <v>0</v>
      </c>
      <c r="C634" s="51">
        <v>0</v>
      </c>
      <c r="D634">
        <v>0</v>
      </c>
      <c r="E634" s="52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3">
      <c r="A635">
        <v>0</v>
      </c>
      <c r="B635">
        <v>0</v>
      </c>
      <c r="C635" s="51">
        <v>0</v>
      </c>
      <c r="D635">
        <v>0</v>
      </c>
      <c r="E635" s="52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3">
      <c r="A636">
        <v>0</v>
      </c>
      <c r="B636">
        <v>0</v>
      </c>
      <c r="C636" s="51">
        <v>0</v>
      </c>
      <c r="D636">
        <v>0</v>
      </c>
      <c r="E636" s="52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3">
      <c r="A637">
        <v>0</v>
      </c>
      <c r="B637">
        <v>0</v>
      </c>
      <c r="C637" s="51">
        <v>0</v>
      </c>
      <c r="D637">
        <v>0</v>
      </c>
      <c r="E637" s="52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3">
      <c r="A638">
        <v>0</v>
      </c>
      <c r="B638">
        <v>0</v>
      </c>
      <c r="C638" s="51">
        <v>0</v>
      </c>
      <c r="D638">
        <v>0</v>
      </c>
      <c r="E638" s="52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3">
      <c r="A639">
        <v>0</v>
      </c>
      <c r="B639">
        <v>0</v>
      </c>
      <c r="C639" s="51">
        <v>0</v>
      </c>
      <c r="D639">
        <v>0</v>
      </c>
      <c r="E639" s="52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3">
      <c r="A640">
        <v>0</v>
      </c>
      <c r="B640">
        <v>0</v>
      </c>
      <c r="C640" s="51">
        <v>0</v>
      </c>
      <c r="D640">
        <v>0</v>
      </c>
      <c r="E640" s="52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3">
      <c r="A641">
        <v>0</v>
      </c>
      <c r="B641">
        <v>0</v>
      </c>
      <c r="C641" s="51">
        <v>0</v>
      </c>
      <c r="D641">
        <v>0</v>
      </c>
      <c r="E641" s="52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3">
      <c r="A642">
        <v>0</v>
      </c>
      <c r="B642">
        <v>0</v>
      </c>
      <c r="C642" s="51">
        <v>0</v>
      </c>
      <c r="D642">
        <v>0</v>
      </c>
      <c r="E642" s="5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3">
      <c r="A643">
        <v>0</v>
      </c>
      <c r="B643">
        <v>0</v>
      </c>
      <c r="C643" s="51">
        <v>0</v>
      </c>
      <c r="D643">
        <v>0</v>
      </c>
      <c r="E643" s="52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3">
      <c r="A644">
        <v>0</v>
      </c>
      <c r="B644">
        <v>0</v>
      </c>
      <c r="C644" s="51">
        <v>0</v>
      </c>
      <c r="D644">
        <v>0</v>
      </c>
      <c r="E644" s="52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3">
      <c r="A645">
        <v>0</v>
      </c>
      <c r="B645">
        <v>0</v>
      </c>
      <c r="C645" s="51">
        <v>0</v>
      </c>
      <c r="D645">
        <v>0</v>
      </c>
      <c r="E645" s="52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3">
      <c r="A646">
        <v>0</v>
      </c>
      <c r="B646">
        <v>0</v>
      </c>
      <c r="C646" s="51">
        <v>0</v>
      </c>
      <c r="D646">
        <v>0</v>
      </c>
      <c r="E646" s="52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x14ac:dyDescent="0.3">
      <c r="A647">
        <v>0</v>
      </c>
      <c r="B647">
        <v>0</v>
      </c>
      <c r="C647" s="51">
        <v>0</v>
      </c>
      <c r="D647">
        <v>0</v>
      </c>
      <c r="E647" s="52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3">
      <c r="A648">
        <v>0</v>
      </c>
      <c r="B648">
        <v>0</v>
      </c>
      <c r="C648" s="51">
        <v>0</v>
      </c>
      <c r="D648">
        <v>0</v>
      </c>
      <c r="E648" s="52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 x14ac:dyDescent="0.3">
      <c r="A649">
        <v>0</v>
      </c>
      <c r="B649">
        <v>0</v>
      </c>
      <c r="C649" s="51">
        <v>0</v>
      </c>
      <c r="D649">
        <v>0</v>
      </c>
      <c r="E649" s="52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3">
      <c r="A650">
        <v>0</v>
      </c>
      <c r="B650">
        <v>0</v>
      </c>
      <c r="C650" s="51">
        <v>0</v>
      </c>
      <c r="D650">
        <v>0</v>
      </c>
      <c r="E650" s="52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x14ac:dyDescent="0.3">
      <c r="A651">
        <v>0</v>
      </c>
      <c r="B651">
        <v>0</v>
      </c>
      <c r="C651" s="51">
        <v>0</v>
      </c>
      <c r="D651">
        <v>0</v>
      </c>
      <c r="E651" s="52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3">
      <c r="A652">
        <v>0</v>
      </c>
      <c r="B652">
        <v>0</v>
      </c>
      <c r="C652" s="51">
        <v>0</v>
      </c>
      <c r="D652">
        <v>0</v>
      </c>
      <c r="E652" s="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3">
      <c r="A653">
        <v>0</v>
      </c>
      <c r="B653">
        <v>0</v>
      </c>
      <c r="C653" s="51">
        <v>0</v>
      </c>
      <c r="D653">
        <v>0</v>
      </c>
      <c r="E653" s="52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3">
      <c r="A654">
        <v>0</v>
      </c>
      <c r="B654">
        <v>0</v>
      </c>
      <c r="C654" s="51">
        <v>0</v>
      </c>
      <c r="D654">
        <v>0</v>
      </c>
      <c r="E654" s="52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3">
      <c r="A655">
        <v>0</v>
      </c>
      <c r="B655">
        <v>0</v>
      </c>
      <c r="C655" s="51">
        <v>0</v>
      </c>
      <c r="D655">
        <v>0</v>
      </c>
      <c r="E655" s="52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3">
      <c r="A656">
        <v>0</v>
      </c>
      <c r="B656">
        <v>0</v>
      </c>
      <c r="C656" s="51">
        <v>0</v>
      </c>
      <c r="D656">
        <v>0</v>
      </c>
      <c r="E656" s="52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3">
      <c r="A657">
        <v>0</v>
      </c>
      <c r="B657">
        <v>0</v>
      </c>
      <c r="C657" s="51">
        <v>0</v>
      </c>
      <c r="D657">
        <v>0</v>
      </c>
      <c r="E657" s="52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3">
      <c r="A658">
        <v>0</v>
      </c>
      <c r="B658">
        <v>0</v>
      </c>
      <c r="C658" s="51">
        <v>0</v>
      </c>
      <c r="D658">
        <v>0</v>
      </c>
      <c r="E658" s="52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3">
      <c r="A659">
        <v>0</v>
      </c>
      <c r="B659">
        <v>0</v>
      </c>
      <c r="C659" s="51">
        <v>0</v>
      </c>
      <c r="D659">
        <v>0</v>
      </c>
      <c r="E659" s="52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3">
      <c r="A660">
        <v>0</v>
      </c>
      <c r="B660">
        <v>0</v>
      </c>
      <c r="C660" s="51">
        <v>0</v>
      </c>
      <c r="D660">
        <v>0</v>
      </c>
      <c r="E660" s="52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3">
      <c r="A661">
        <v>0</v>
      </c>
      <c r="B661">
        <v>0</v>
      </c>
      <c r="C661" s="51">
        <v>0</v>
      </c>
      <c r="D661">
        <v>0</v>
      </c>
      <c r="E661" s="52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3">
      <c r="A662">
        <v>0</v>
      </c>
      <c r="B662">
        <v>0</v>
      </c>
      <c r="C662" s="51">
        <v>0</v>
      </c>
      <c r="D662">
        <v>0</v>
      </c>
      <c r="E662" s="5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3">
      <c r="A663">
        <v>0</v>
      </c>
      <c r="B663">
        <v>0</v>
      </c>
      <c r="C663" s="51">
        <v>0</v>
      </c>
      <c r="D663">
        <v>0</v>
      </c>
      <c r="E663" s="52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3">
      <c r="A664">
        <v>0</v>
      </c>
      <c r="B664">
        <v>0</v>
      </c>
      <c r="C664" s="51">
        <v>0</v>
      </c>
      <c r="D664">
        <v>0</v>
      </c>
      <c r="E664" s="52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3">
      <c r="A665">
        <v>0</v>
      </c>
      <c r="B665">
        <v>0</v>
      </c>
      <c r="C665" s="51">
        <v>0</v>
      </c>
      <c r="D665">
        <v>0</v>
      </c>
      <c r="E665" s="52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3">
      <c r="A666">
        <v>0</v>
      </c>
      <c r="B666">
        <v>0</v>
      </c>
      <c r="C666" s="51">
        <v>0</v>
      </c>
      <c r="D666">
        <v>0</v>
      </c>
      <c r="E666" s="52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3">
      <c r="A667">
        <v>0</v>
      </c>
      <c r="B667">
        <v>0</v>
      </c>
      <c r="C667" s="51">
        <v>0</v>
      </c>
      <c r="D667">
        <v>0</v>
      </c>
      <c r="E667" s="52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3">
      <c r="A668">
        <v>0</v>
      </c>
      <c r="B668">
        <v>0</v>
      </c>
      <c r="C668" s="51">
        <v>0</v>
      </c>
      <c r="D668">
        <v>0</v>
      </c>
      <c r="E668" s="52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3">
      <c r="A669">
        <v>0</v>
      </c>
      <c r="B669">
        <v>0</v>
      </c>
      <c r="C669" s="51">
        <v>0</v>
      </c>
      <c r="D669">
        <v>0</v>
      </c>
      <c r="E669" s="52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3">
      <c r="A670">
        <v>0</v>
      </c>
      <c r="B670">
        <v>0</v>
      </c>
      <c r="C670" s="51">
        <v>0</v>
      </c>
      <c r="D670">
        <v>0</v>
      </c>
      <c r="E670" s="52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3">
      <c r="A671">
        <v>0</v>
      </c>
      <c r="B671">
        <v>0</v>
      </c>
      <c r="C671" s="51">
        <v>0</v>
      </c>
      <c r="D671">
        <v>0</v>
      </c>
      <c r="E671" s="52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3">
      <c r="A672">
        <v>0</v>
      </c>
      <c r="B672">
        <v>0</v>
      </c>
      <c r="C672" s="51">
        <v>0</v>
      </c>
      <c r="D672">
        <v>0</v>
      </c>
      <c r="E672" s="5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3">
      <c r="A673">
        <v>0</v>
      </c>
      <c r="B673">
        <v>0</v>
      </c>
      <c r="C673" s="51">
        <v>0</v>
      </c>
      <c r="D673">
        <v>0</v>
      </c>
      <c r="E673" s="52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3">
      <c r="A674">
        <v>0</v>
      </c>
      <c r="B674">
        <v>0</v>
      </c>
      <c r="C674" s="51">
        <v>0</v>
      </c>
      <c r="D674">
        <v>0</v>
      </c>
      <c r="E674" s="52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3">
      <c r="A675">
        <v>0</v>
      </c>
      <c r="B675">
        <v>0</v>
      </c>
      <c r="C675" s="51">
        <v>0</v>
      </c>
      <c r="D675">
        <v>0</v>
      </c>
      <c r="E675" s="52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3">
      <c r="A676">
        <v>0</v>
      </c>
      <c r="B676">
        <v>0</v>
      </c>
      <c r="C676" s="51">
        <v>0</v>
      </c>
      <c r="D676">
        <v>0</v>
      </c>
      <c r="E676" s="52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3">
      <c r="A677">
        <v>0</v>
      </c>
      <c r="B677">
        <v>0</v>
      </c>
      <c r="C677" s="51">
        <v>0</v>
      </c>
      <c r="D677">
        <v>0</v>
      </c>
      <c r="E677" s="52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3">
      <c r="A678">
        <v>0</v>
      </c>
      <c r="B678">
        <v>0</v>
      </c>
      <c r="C678" s="51">
        <v>0</v>
      </c>
      <c r="D678">
        <v>0</v>
      </c>
      <c r="E678" s="52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3">
      <c r="A679">
        <v>0</v>
      </c>
      <c r="B679">
        <v>0</v>
      </c>
      <c r="C679" s="51">
        <v>0</v>
      </c>
      <c r="D679">
        <v>0</v>
      </c>
      <c r="E679" s="52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3">
      <c r="A680">
        <v>0</v>
      </c>
      <c r="B680">
        <v>0</v>
      </c>
      <c r="C680" s="51">
        <v>0</v>
      </c>
      <c r="D680">
        <v>0</v>
      </c>
      <c r="E680" s="52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3">
      <c r="A681">
        <v>0</v>
      </c>
      <c r="B681">
        <v>0</v>
      </c>
      <c r="C681" s="51">
        <v>0</v>
      </c>
      <c r="D681">
        <v>0</v>
      </c>
      <c r="E681" s="52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3">
      <c r="A682">
        <v>0</v>
      </c>
      <c r="B682">
        <v>0</v>
      </c>
      <c r="C682" s="51">
        <v>0</v>
      </c>
      <c r="D682">
        <v>0</v>
      </c>
      <c r="E682" s="5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3">
      <c r="A683">
        <v>0</v>
      </c>
      <c r="B683">
        <v>0</v>
      </c>
      <c r="C683" s="51">
        <v>0</v>
      </c>
      <c r="D683">
        <v>0</v>
      </c>
      <c r="E683" s="52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3">
      <c r="A684">
        <v>0</v>
      </c>
      <c r="B684">
        <v>0</v>
      </c>
      <c r="C684" s="51">
        <v>0</v>
      </c>
      <c r="D684">
        <v>0</v>
      </c>
      <c r="E684" s="52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3">
      <c r="A685">
        <v>0</v>
      </c>
      <c r="B685">
        <v>0</v>
      </c>
      <c r="C685" s="51">
        <v>0</v>
      </c>
      <c r="D685">
        <v>0</v>
      </c>
      <c r="E685" s="52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3">
      <c r="A686">
        <v>0</v>
      </c>
      <c r="B686">
        <v>0</v>
      </c>
      <c r="C686" s="51">
        <v>0</v>
      </c>
      <c r="D686">
        <v>0</v>
      </c>
      <c r="E686" s="52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3">
      <c r="A687">
        <v>0</v>
      </c>
      <c r="B687">
        <v>0</v>
      </c>
      <c r="C687" s="51">
        <v>0</v>
      </c>
      <c r="D687">
        <v>0</v>
      </c>
      <c r="E687" s="52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3">
      <c r="A688">
        <v>0</v>
      </c>
      <c r="B688">
        <v>0</v>
      </c>
      <c r="C688" s="51">
        <v>0</v>
      </c>
      <c r="D688">
        <v>0</v>
      </c>
      <c r="E688" s="52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3">
      <c r="A689">
        <v>0</v>
      </c>
      <c r="B689">
        <v>0</v>
      </c>
      <c r="C689" s="51">
        <v>0</v>
      </c>
      <c r="D689">
        <v>0</v>
      </c>
      <c r="E689" s="52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3">
      <c r="A690">
        <v>0</v>
      </c>
      <c r="B690">
        <v>0</v>
      </c>
      <c r="C690" s="51">
        <v>0</v>
      </c>
      <c r="D690">
        <v>0</v>
      </c>
      <c r="E690" s="52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3">
      <c r="A691">
        <v>0</v>
      </c>
      <c r="B691">
        <v>0</v>
      </c>
      <c r="C691" s="51">
        <v>0</v>
      </c>
      <c r="D691">
        <v>0</v>
      </c>
      <c r="E691" s="52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3">
      <c r="A692">
        <v>0</v>
      </c>
      <c r="B692">
        <v>0</v>
      </c>
      <c r="C692" s="51">
        <v>0</v>
      </c>
      <c r="D692">
        <v>0</v>
      </c>
      <c r="E692" s="5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3">
      <c r="A693">
        <v>0</v>
      </c>
      <c r="B693">
        <v>0</v>
      </c>
      <c r="C693" s="51">
        <v>0</v>
      </c>
      <c r="D693">
        <v>0</v>
      </c>
      <c r="E693" s="52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3">
      <c r="A694">
        <v>0</v>
      </c>
      <c r="B694">
        <v>0</v>
      </c>
      <c r="C694" s="51">
        <v>0</v>
      </c>
      <c r="D694">
        <v>0</v>
      </c>
      <c r="E694" s="52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3">
      <c r="A695">
        <v>0</v>
      </c>
      <c r="B695">
        <v>0</v>
      </c>
      <c r="C695" s="51">
        <v>0</v>
      </c>
      <c r="D695">
        <v>0</v>
      </c>
      <c r="E695" s="52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3">
      <c r="A696">
        <v>0</v>
      </c>
      <c r="B696">
        <v>0</v>
      </c>
      <c r="C696" s="51">
        <v>0</v>
      </c>
      <c r="D696">
        <v>0</v>
      </c>
      <c r="E696" s="52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3">
      <c r="A697">
        <v>0</v>
      </c>
      <c r="B697">
        <v>0</v>
      </c>
      <c r="C697" s="51">
        <v>0</v>
      </c>
      <c r="D697">
        <v>0</v>
      </c>
      <c r="E697" s="52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3">
      <c r="A698">
        <v>0</v>
      </c>
      <c r="B698">
        <v>0</v>
      </c>
      <c r="C698" s="51">
        <v>0</v>
      </c>
      <c r="D698">
        <v>0</v>
      </c>
      <c r="E698" s="52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3">
      <c r="A699">
        <v>0</v>
      </c>
      <c r="B699">
        <v>0</v>
      </c>
      <c r="C699" s="51">
        <v>0</v>
      </c>
      <c r="D699">
        <v>0</v>
      </c>
      <c r="E699" s="52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3">
      <c r="A700">
        <v>0</v>
      </c>
      <c r="B700">
        <v>0</v>
      </c>
      <c r="C700" s="51">
        <v>0</v>
      </c>
      <c r="D700">
        <v>0</v>
      </c>
      <c r="E700" s="52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3">
      <c r="A701">
        <v>0</v>
      </c>
      <c r="B701">
        <v>0</v>
      </c>
      <c r="C701" s="51">
        <v>0</v>
      </c>
      <c r="D701">
        <v>0</v>
      </c>
      <c r="E701" s="52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3">
      <c r="A702">
        <v>0</v>
      </c>
      <c r="B702">
        <v>0</v>
      </c>
      <c r="C702" s="51">
        <v>0</v>
      </c>
      <c r="D702">
        <v>0</v>
      </c>
      <c r="E702" s="5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3">
      <c r="A703">
        <v>0</v>
      </c>
      <c r="B703">
        <v>0</v>
      </c>
      <c r="C703" s="51">
        <v>0</v>
      </c>
      <c r="D703">
        <v>0</v>
      </c>
      <c r="E703" s="52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3">
      <c r="A704">
        <v>0</v>
      </c>
      <c r="B704">
        <v>0</v>
      </c>
      <c r="C704" s="51">
        <v>0</v>
      </c>
      <c r="D704">
        <v>0</v>
      </c>
      <c r="E704" s="52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3">
      <c r="A705">
        <v>0</v>
      </c>
      <c r="B705">
        <v>0</v>
      </c>
      <c r="C705" s="51">
        <v>0</v>
      </c>
      <c r="D705">
        <v>0</v>
      </c>
      <c r="E705" s="52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3">
      <c r="A706">
        <v>0</v>
      </c>
      <c r="B706">
        <v>0</v>
      </c>
      <c r="C706" s="51">
        <v>0</v>
      </c>
      <c r="D706">
        <v>0</v>
      </c>
      <c r="E706" s="52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3">
      <c r="A707">
        <v>0</v>
      </c>
      <c r="B707">
        <v>0</v>
      </c>
      <c r="C707" s="51">
        <v>0</v>
      </c>
      <c r="D707">
        <v>0</v>
      </c>
      <c r="E707" s="52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3">
      <c r="A708">
        <v>0</v>
      </c>
      <c r="B708">
        <v>0</v>
      </c>
      <c r="C708" s="51">
        <v>0</v>
      </c>
      <c r="D708">
        <v>0</v>
      </c>
      <c r="E708" s="52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3">
      <c r="A709">
        <v>0</v>
      </c>
      <c r="B709">
        <v>0</v>
      </c>
      <c r="C709" s="51">
        <v>0</v>
      </c>
      <c r="D709">
        <v>0</v>
      </c>
      <c r="E709" s="52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3">
      <c r="A710">
        <v>0</v>
      </c>
      <c r="B710">
        <v>0</v>
      </c>
      <c r="C710" s="51">
        <v>0</v>
      </c>
      <c r="D710">
        <v>0</v>
      </c>
      <c r="E710" s="52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3">
      <c r="A711">
        <v>0</v>
      </c>
      <c r="B711">
        <v>0</v>
      </c>
      <c r="C711" s="51">
        <v>0</v>
      </c>
      <c r="D711">
        <v>0</v>
      </c>
      <c r="E711" s="52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3">
      <c r="A712">
        <v>0</v>
      </c>
      <c r="B712">
        <v>0</v>
      </c>
      <c r="C712" s="51">
        <v>0</v>
      </c>
      <c r="D712">
        <v>0</v>
      </c>
      <c r="E712" s="5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3">
      <c r="A713">
        <v>0</v>
      </c>
      <c r="B713">
        <v>0</v>
      </c>
      <c r="C713" s="51">
        <v>0</v>
      </c>
      <c r="D713">
        <v>0</v>
      </c>
      <c r="E713" s="52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3">
      <c r="A714">
        <v>0</v>
      </c>
      <c r="B714">
        <v>0</v>
      </c>
      <c r="C714" s="51">
        <v>0</v>
      </c>
      <c r="D714">
        <v>0</v>
      </c>
      <c r="E714" s="52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x14ac:dyDescent="0.3">
      <c r="A715">
        <v>0</v>
      </c>
      <c r="B715">
        <v>0</v>
      </c>
      <c r="C715" s="51">
        <v>0</v>
      </c>
      <c r="D715">
        <v>0</v>
      </c>
      <c r="E715" s="52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3">
      <c r="A716">
        <v>0</v>
      </c>
      <c r="B716">
        <v>0</v>
      </c>
      <c r="C716" s="51">
        <v>0</v>
      </c>
      <c r="D716">
        <v>0</v>
      </c>
      <c r="E716" s="52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3">
      <c r="A717">
        <v>0</v>
      </c>
      <c r="B717">
        <v>0</v>
      </c>
      <c r="C717" s="51">
        <v>0</v>
      </c>
      <c r="D717">
        <v>0</v>
      </c>
      <c r="E717" s="52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3">
      <c r="A718">
        <v>0</v>
      </c>
      <c r="B718">
        <v>0</v>
      </c>
      <c r="C718" s="51">
        <v>0</v>
      </c>
      <c r="D718">
        <v>0</v>
      </c>
      <c r="E718" s="52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3">
      <c r="A719">
        <v>0</v>
      </c>
      <c r="B719">
        <v>0</v>
      </c>
      <c r="C719" s="51">
        <v>0</v>
      </c>
      <c r="D719">
        <v>0</v>
      </c>
      <c r="E719" s="52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3">
      <c r="A720">
        <v>0</v>
      </c>
      <c r="B720">
        <v>0</v>
      </c>
      <c r="C720" s="51">
        <v>0</v>
      </c>
      <c r="D720">
        <v>0</v>
      </c>
      <c r="E720" s="52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3">
      <c r="A721">
        <v>0</v>
      </c>
      <c r="B721">
        <v>0</v>
      </c>
      <c r="C721" s="51">
        <v>0</v>
      </c>
      <c r="D721">
        <v>0</v>
      </c>
      <c r="E721" s="52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3">
      <c r="A722">
        <v>0</v>
      </c>
      <c r="B722">
        <v>0</v>
      </c>
      <c r="C722" s="51">
        <v>0</v>
      </c>
      <c r="D722">
        <v>0</v>
      </c>
      <c r="E722" s="5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3">
      <c r="A723">
        <v>0</v>
      </c>
      <c r="B723">
        <v>0</v>
      </c>
      <c r="C723" s="51">
        <v>0</v>
      </c>
      <c r="D723">
        <v>0</v>
      </c>
      <c r="E723" s="52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3">
      <c r="A724">
        <v>0</v>
      </c>
      <c r="B724">
        <v>0</v>
      </c>
      <c r="C724" s="51">
        <v>0</v>
      </c>
      <c r="D724">
        <v>0</v>
      </c>
      <c r="E724" s="52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3">
      <c r="A725">
        <v>0</v>
      </c>
      <c r="B725">
        <v>0</v>
      </c>
      <c r="C725" s="51">
        <v>0</v>
      </c>
      <c r="D725">
        <v>0</v>
      </c>
      <c r="E725" s="52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3">
      <c r="A726">
        <v>0</v>
      </c>
      <c r="B726">
        <v>0</v>
      </c>
      <c r="C726" s="51">
        <v>0</v>
      </c>
      <c r="D726">
        <v>0</v>
      </c>
      <c r="E726" s="52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3">
      <c r="A727">
        <v>0</v>
      </c>
      <c r="B727">
        <v>0</v>
      </c>
      <c r="C727" s="51">
        <v>0</v>
      </c>
      <c r="D727">
        <v>0</v>
      </c>
      <c r="E727" s="52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3">
      <c r="A728">
        <v>0</v>
      </c>
      <c r="B728">
        <v>0</v>
      </c>
      <c r="C728" s="51">
        <v>0</v>
      </c>
      <c r="D728">
        <v>0</v>
      </c>
      <c r="E728" s="52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3">
      <c r="A729">
        <v>0</v>
      </c>
      <c r="B729">
        <v>0</v>
      </c>
      <c r="C729" s="51">
        <v>0</v>
      </c>
      <c r="D729">
        <v>0</v>
      </c>
      <c r="E729" s="52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3">
      <c r="A730">
        <v>0</v>
      </c>
      <c r="B730">
        <v>0</v>
      </c>
      <c r="C730" s="51">
        <v>0</v>
      </c>
      <c r="D730">
        <v>0</v>
      </c>
      <c r="E730" s="52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3">
      <c r="A731">
        <v>0</v>
      </c>
      <c r="B731">
        <v>0</v>
      </c>
      <c r="C731" s="51">
        <v>0</v>
      </c>
      <c r="D731">
        <v>0</v>
      </c>
      <c r="E731" s="52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3">
      <c r="A732">
        <v>0</v>
      </c>
      <c r="B732">
        <v>0</v>
      </c>
      <c r="C732" s="51">
        <v>0</v>
      </c>
      <c r="D732">
        <v>0</v>
      </c>
      <c r="E732" s="5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3">
      <c r="A733">
        <v>0</v>
      </c>
      <c r="B733">
        <v>0</v>
      </c>
      <c r="C733" s="51">
        <v>0</v>
      </c>
      <c r="D733">
        <v>0</v>
      </c>
      <c r="E733" s="52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3">
      <c r="A734">
        <v>0</v>
      </c>
      <c r="B734">
        <v>0</v>
      </c>
      <c r="C734" s="51">
        <v>0</v>
      </c>
      <c r="D734">
        <v>0</v>
      </c>
      <c r="E734" s="52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3">
      <c r="A735">
        <v>0</v>
      </c>
      <c r="B735">
        <v>0</v>
      </c>
      <c r="C735" s="51">
        <v>0</v>
      </c>
      <c r="D735">
        <v>0</v>
      </c>
      <c r="E735" s="52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3">
      <c r="A736">
        <v>0</v>
      </c>
      <c r="B736">
        <v>0</v>
      </c>
      <c r="C736" s="51">
        <v>0</v>
      </c>
      <c r="D736">
        <v>0</v>
      </c>
      <c r="E736" s="52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3">
      <c r="A737">
        <v>0</v>
      </c>
      <c r="B737">
        <v>0</v>
      </c>
      <c r="C737" s="51">
        <v>0</v>
      </c>
      <c r="D737">
        <v>0</v>
      </c>
      <c r="E737" s="52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3">
      <c r="A738">
        <v>0</v>
      </c>
      <c r="B738">
        <v>0</v>
      </c>
      <c r="C738" s="51">
        <v>0</v>
      </c>
      <c r="D738">
        <v>0</v>
      </c>
      <c r="E738" s="52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3">
      <c r="A739">
        <v>0</v>
      </c>
      <c r="B739">
        <v>0</v>
      </c>
      <c r="C739" s="51">
        <v>0</v>
      </c>
      <c r="D739">
        <v>0</v>
      </c>
      <c r="E739" s="52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3">
      <c r="A740">
        <v>0</v>
      </c>
      <c r="B740">
        <v>0</v>
      </c>
      <c r="C740" s="51">
        <v>0</v>
      </c>
      <c r="D740">
        <v>0</v>
      </c>
      <c r="E740" s="52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3">
      <c r="A741">
        <v>0</v>
      </c>
      <c r="B741">
        <v>0</v>
      </c>
      <c r="C741" s="51">
        <v>0</v>
      </c>
      <c r="D741">
        <v>0</v>
      </c>
      <c r="E741" s="52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3">
      <c r="A742">
        <v>0</v>
      </c>
      <c r="B742">
        <v>0</v>
      </c>
      <c r="C742" s="51">
        <v>0</v>
      </c>
      <c r="D742">
        <v>0</v>
      </c>
      <c r="E742" s="5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3">
      <c r="A743">
        <v>0</v>
      </c>
      <c r="B743">
        <v>0</v>
      </c>
      <c r="C743" s="51">
        <v>0</v>
      </c>
      <c r="D743">
        <v>0</v>
      </c>
      <c r="E743" s="52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3">
      <c r="A744">
        <v>0</v>
      </c>
      <c r="B744">
        <v>0</v>
      </c>
      <c r="C744" s="51">
        <v>0</v>
      </c>
      <c r="D744">
        <v>0</v>
      </c>
      <c r="E744" s="52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3">
      <c r="A745">
        <v>0</v>
      </c>
      <c r="B745">
        <v>0</v>
      </c>
      <c r="C745" s="51">
        <v>0</v>
      </c>
      <c r="D745">
        <v>0</v>
      </c>
      <c r="E745" s="52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3">
      <c r="A746">
        <v>0</v>
      </c>
      <c r="B746">
        <v>0</v>
      </c>
      <c r="C746" s="51">
        <v>0</v>
      </c>
      <c r="D746">
        <v>0</v>
      </c>
      <c r="E746" s="52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 x14ac:dyDescent="0.3">
      <c r="A747">
        <v>0</v>
      </c>
      <c r="B747">
        <v>0</v>
      </c>
      <c r="C747" s="51">
        <v>0</v>
      </c>
      <c r="D747">
        <v>0</v>
      </c>
      <c r="E747" s="52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3">
      <c r="A748">
        <v>0</v>
      </c>
      <c r="B748">
        <v>0</v>
      </c>
      <c r="C748" s="51">
        <v>0</v>
      </c>
      <c r="D748">
        <v>0</v>
      </c>
      <c r="E748" s="52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x14ac:dyDescent="0.3">
      <c r="A749">
        <v>0</v>
      </c>
      <c r="B749">
        <v>0</v>
      </c>
      <c r="C749" s="51">
        <v>0</v>
      </c>
      <c r="D749">
        <v>0</v>
      </c>
      <c r="E749" s="52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3">
      <c r="A750">
        <v>0</v>
      </c>
      <c r="B750">
        <v>0</v>
      </c>
      <c r="C750" s="51">
        <v>0</v>
      </c>
      <c r="D750">
        <v>0</v>
      </c>
      <c r="E750" s="52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3">
      <c r="A751">
        <v>0</v>
      </c>
      <c r="B751">
        <v>0</v>
      </c>
      <c r="C751" s="51">
        <v>0</v>
      </c>
      <c r="D751">
        <v>0</v>
      </c>
      <c r="E751" s="52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3">
      <c r="A752">
        <v>0</v>
      </c>
      <c r="B752">
        <v>0</v>
      </c>
      <c r="C752" s="51">
        <v>0</v>
      </c>
      <c r="D752">
        <v>0</v>
      </c>
      <c r="E752" s="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3">
      <c r="A753">
        <v>0</v>
      </c>
      <c r="B753">
        <v>0</v>
      </c>
      <c r="C753" s="51">
        <v>0</v>
      </c>
      <c r="D753">
        <v>0</v>
      </c>
      <c r="E753" s="52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3">
      <c r="A754">
        <v>0</v>
      </c>
      <c r="B754">
        <v>0</v>
      </c>
      <c r="C754" s="51">
        <v>0</v>
      </c>
      <c r="D754">
        <v>0</v>
      </c>
      <c r="E754" s="52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 x14ac:dyDescent="0.3">
      <c r="A755">
        <v>0</v>
      </c>
      <c r="B755">
        <v>0</v>
      </c>
      <c r="C755" s="51">
        <v>0</v>
      </c>
      <c r="D755">
        <v>0</v>
      </c>
      <c r="E755" s="52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3">
      <c r="A756">
        <v>0</v>
      </c>
      <c r="B756">
        <v>0</v>
      </c>
      <c r="C756" s="51">
        <v>0</v>
      </c>
      <c r="D756">
        <v>0</v>
      </c>
      <c r="E756" s="52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x14ac:dyDescent="0.3">
      <c r="A757">
        <v>0</v>
      </c>
      <c r="B757">
        <v>0</v>
      </c>
      <c r="C757" s="51">
        <v>0</v>
      </c>
      <c r="D757">
        <v>0</v>
      </c>
      <c r="E757" s="52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 x14ac:dyDescent="0.3">
      <c r="A758">
        <v>0</v>
      </c>
      <c r="B758">
        <v>0</v>
      </c>
      <c r="C758" s="51">
        <v>0</v>
      </c>
      <c r="D758">
        <v>0</v>
      </c>
      <c r="E758" s="52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3">
      <c r="A759">
        <v>0</v>
      </c>
      <c r="B759">
        <v>0</v>
      </c>
      <c r="C759" s="51">
        <v>0</v>
      </c>
      <c r="D759">
        <v>0</v>
      </c>
      <c r="E759" s="52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3">
      <c r="A760">
        <v>0</v>
      </c>
      <c r="B760">
        <v>0</v>
      </c>
      <c r="C760" s="51">
        <v>0</v>
      </c>
      <c r="D760">
        <v>0</v>
      </c>
      <c r="E760" s="52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 x14ac:dyDescent="0.3">
      <c r="A761">
        <v>0</v>
      </c>
      <c r="B761">
        <v>0</v>
      </c>
      <c r="C761" s="51">
        <v>0</v>
      </c>
      <c r="D761">
        <v>0</v>
      </c>
      <c r="E761" s="52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3">
      <c r="A762">
        <v>0</v>
      </c>
      <c r="B762">
        <v>0</v>
      </c>
      <c r="C762" s="51">
        <v>0</v>
      </c>
      <c r="D762">
        <v>0</v>
      </c>
      <c r="E762" s="5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3">
      <c r="A763">
        <v>0</v>
      </c>
      <c r="B763">
        <v>0</v>
      </c>
      <c r="C763" s="51">
        <v>0</v>
      </c>
      <c r="D763">
        <v>0</v>
      </c>
      <c r="E763" s="52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3">
      <c r="A764">
        <v>0</v>
      </c>
      <c r="B764">
        <v>0</v>
      </c>
      <c r="C764" s="51">
        <v>0</v>
      </c>
      <c r="D764">
        <v>0</v>
      </c>
      <c r="E764" s="52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3">
      <c r="A765">
        <v>0</v>
      </c>
      <c r="B765">
        <v>0</v>
      </c>
      <c r="C765" s="51">
        <v>0</v>
      </c>
      <c r="D765">
        <v>0</v>
      </c>
      <c r="E765" s="52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3">
      <c r="A766">
        <v>0</v>
      </c>
      <c r="B766">
        <v>0</v>
      </c>
      <c r="C766" s="51">
        <v>0</v>
      </c>
      <c r="D766">
        <v>0</v>
      </c>
      <c r="E766" s="52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3">
      <c r="A767">
        <v>0</v>
      </c>
      <c r="B767">
        <v>0</v>
      </c>
      <c r="C767" s="51">
        <v>0</v>
      </c>
      <c r="D767">
        <v>0</v>
      </c>
      <c r="E767" s="52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 x14ac:dyDescent="0.3">
      <c r="A768">
        <v>0</v>
      </c>
      <c r="B768">
        <v>0</v>
      </c>
      <c r="C768" s="51">
        <v>0</v>
      </c>
      <c r="D768">
        <v>0</v>
      </c>
      <c r="E768" s="52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3">
      <c r="A769">
        <v>0</v>
      </c>
      <c r="B769">
        <v>0</v>
      </c>
      <c r="C769" s="51">
        <v>0</v>
      </c>
      <c r="D769">
        <v>0</v>
      </c>
      <c r="E769" s="52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 x14ac:dyDescent="0.3">
      <c r="A770">
        <v>0</v>
      </c>
      <c r="B770">
        <v>0</v>
      </c>
      <c r="C770" s="51">
        <v>0</v>
      </c>
      <c r="D770">
        <v>0</v>
      </c>
      <c r="E770" s="52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3">
      <c r="A771">
        <v>0</v>
      </c>
      <c r="B771">
        <v>0</v>
      </c>
      <c r="C771" s="51">
        <v>0</v>
      </c>
      <c r="D771">
        <v>0</v>
      </c>
      <c r="E771" s="52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x14ac:dyDescent="0.3">
      <c r="A772">
        <v>0</v>
      </c>
      <c r="B772">
        <v>0</v>
      </c>
      <c r="C772" s="51">
        <v>0</v>
      </c>
      <c r="D772">
        <v>0</v>
      </c>
      <c r="E772" s="5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3">
      <c r="A773">
        <v>0</v>
      </c>
      <c r="B773">
        <v>0</v>
      </c>
      <c r="C773" s="51">
        <v>0</v>
      </c>
      <c r="D773">
        <v>0</v>
      </c>
      <c r="E773" s="52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3">
      <c r="A774">
        <v>0</v>
      </c>
      <c r="B774">
        <v>0</v>
      </c>
      <c r="C774" s="51">
        <v>0</v>
      </c>
      <c r="D774">
        <v>0</v>
      </c>
      <c r="E774" s="52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x14ac:dyDescent="0.3">
      <c r="A775">
        <v>0</v>
      </c>
      <c r="B775">
        <v>0</v>
      </c>
      <c r="C775" s="51">
        <v>0</v>
      </c>
      <c r="D775">
        <v>0</v>
      </c>
      <c r="E775" s="52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3">
      <c r="A776">
        <v>0</v>
      </c>
      <c r="B776">
        <v>0</v>
      </c>
      <c r="C776" s="51">
        <v>0</v>
      </c>
      <c r="D776">
        <v>0</v>
      </c>
      <c r="E776" s="52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3">
      <c r="A777">
        <v>0</v>
      </c>
      <c r="B777">
        <v>0</v>
      </c>
      <c r="C777" s="51">
        <v>0</v>
      </c>
      <c r="D777">
        <v>0</v>
      </c>
      <c r="E777" s="52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3">
      <c r="A778">
        <v>0</v>
      </c>
      <c r="B778">
        <v>0</v>
      </c>
      <c r="C778" s="51">
        <v>0</v>
      </c>
      <c r="D778">
        <v>0</v>
      </c>
      <c r="E778" s="52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3">
      <c r="A779">
        <v>0</v>
      </c>
      <c r="B779">
        <v>0</v>
      </c>
      <c r="C779" s="51">
        <v>0</v>
      </c>
      <c r="D779">
        <v>0</v>
      </c>
      <c r="E779" s="52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x14ac:dyDescent="0.3">
      <c r="A780">
        <v>0</v>
      </c>
      <c r="B780">
        <v>0</v>
      </c>
      <c r="C780" s="51">
        <v>0</v>
      </c>
      <c r="D780">
        <v>0</v>
      </c>
      <c r="E780" s="52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3">
      <c r="A781">
        <v>0</v>
      </c>
      <c r="B781">
        <v>0</v>
      </c>
      <c r="C781" s="51">
        <v>0</v>
      </c>
      <c r="D781">
        <v>0</v>
      </c>
      <c r="E781" s="52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 x14ac:dyDescent="0.3">
      <c r="A782">
        <v>0</v>
      </c>
      <c r="B782">
        <v>0</v>
      </c>
      <c r="C782" s="51">
        <v>0</v>
      </c>
      <c r="D782">
        <v>0</v>
      </c>
      <c r="E782" s="5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 x14ac:dyDescent="0.3">
      <c r="E783" s="52"/>
    </row>
    <row r="784" spans="1:10" x14ac:dyDescent="0.3">
      <c r="E784" s="52"/>
    </row>
    <row r="785" spans="5:5" x14ac:dyDescent="0.3">
      <c r="E785" s="52"/>
    </row>
    <row r="786" spans="5:5" x14ac:dyDescent="0.3">
      <c r="E786" s="52"/>
    </row>
    <row r="787" spans="5:5" x14ac:dyDescent="0.3">
      <c r="E787" s="52"/>
    </row>
    <row r="788" spans="5:5" x14ac:dyDescent="0.3">
      <c r="E788" s="52"/>
    </row>
    <row r="789" spans="5:5" x14ac:dyDescent="0.3">
      <c r="E789" s="52"/>
    </row>
    <row r="790" spans="5:5" x14ac:dyDescent="0.3">
      <c r="E790" s="52"/>
    </row>
    <row r="791" spans="5:5" x14ac:dyDescent="0.3">
      <c r="E791" s="52"/>
    </row>
    <row r="792" spans="5:5" x14ac:dyDescent="0.3">
      <c r="E792" s="52"/>
    </row>
    <row r="793" spans="5:5" x14ac:dyDescent="0.3">
      <c r="E793" s="52"/>
    </row>
    <row r="794" spans="5:5" x14ac:dyDescent="0.3">
      <c r="E794" s="52"/>
    </row>
    <row r="795" spans="5:5" x14ac:dyDescent="0.3">
      <c r="E795" s="52"/>
    </row>
    <row r="796" spans="5:5" x14ac:dyDescent="0.3">
      <c r="E796" s="52"/>
    </row>
    <row r="797" spans="5:5" x14ac:dyDescent="0.3">
      <c r="E797" s="52"/>
    </row>
    <row r="798" spans="5:5" x14ac:dyDescent="0.3">
      <c r="E798" s="52"/>
    </row>
    <row r="799" spans="5:5" x14ac:dyDescent="0.3">
      <c r="E799" s="52"/>
    </row>
    <row r="800" spans="5:5" x14ac:dyDescent="0.3">
      <c r="E800" s="52"/>
    </row>
  </sheetData>
  <autoFilter ref="A6:J22" xr:uid="{00000000-0001-0000-0700-000000000000}"/>
  <mergeCells count="2">
    <mergeCell ref="A1:J1"/>
    <mergeCell ref="C2:J4"/>
  </mergeCells>
  <phoneticPr fontId="9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94BE7560-23E6-47D4-B860-DC5E1426FFC5}">
          <x14:formula1>
            <xm:f>__Lists__!$C$1:$C$4</xm:f>
          </x14:formula1>
          <xm:sqref>B4</xm:sqref>
        </x14:dataValidation>
        <x14:dataValidation type="list" xr:uid="{B20C7371-1459-489B-94AE-61AC10501EF8}">
          <x14:formula1>
            <xm:f>__Lists__!$B$1:$B$57</xm:f>
          </x14:formula1>
          <xm:sqref>B3</xm:sqref>
        </x14:dataValidation>
        <x14:dataValidation type="list" xr:uid="{A387FE84-5DA0-4D3C-8AAD-B523CA9F7864}">
          <x14:formula1>
            <xm:f>__Lists__!$A$1:$A$7</xm:f>
          </x14:formula1>
          <xm:sqref>B2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A291-264D-4AD6-BE00-D345B4304CB9}">
  <dimension ref="A1:C57"/>
  <sheetViews>
    <sheetView workbookViewId="0">
      <selection activeCell="A6" sqref="A6:A7"/>
    </sheetView>
  </sheetViews>
  <sheetFormatPr defaultRowHeight="16.5" x14ac:dyDescent="0.3"/>
  <sheetData>
    <row r="1" spans="1:3" x14ac:dyDescent="0.3">
      <c r="A1" t="s">
        <v>1083</v>
      </c>
      <c r="B1" t="s">
        <v>1083</v>
      </c>
      <c r="C1" t="s">
        <v>1083</v>
      </c>
    </row>
    <row r="2" spans="1:3" x14ac:dyDescent="0.3">
      <c r="A2" t="s">
        <v>4</v>
      </c>
      <c r="B2" t="s">
        <v>46</v>
      </c>
      <c r="C2" t="s">
        <v>8</v>
      </c>
    </row>
    <row r="3" spans="1:3" x14ac:dyDescent="0.3">
      <c r="A3" t="s">
        <v>5</v>
      </c>
      <c r="B3" t="s">
        <v>29</v>
      </c>
      <c r="C3" t="s">
        <v>18</v>
      </c>
    </row>
    <row r="4" spans="1:3" x14ac:dyDescent="0.3">
      <c r="A4" t="s">
        <v>6</v>
      </c>
      <c r="B4" t="s">
        <v>15</v>
      </c>
      <c r="C4" t="s">
        <v>19</v>
      </c>
    </row>
    <row r="5" spans="1:3" x14ac:dyDescent="0.3">
      <c r="A5" t="s">
        <v>7</v>
      </c>
      <c r="B5" t="s">
        <v>103</v>
      </c>
    </row>
    <row r="6" spans="1:3" x14ac:dyDescent="0.3">
      <c r="B6" t="s">
        <v>47</v>
      </c>
    </row>
    <row r="7" spans="1:3" x14ac:dyDescent="0.3">
      <c r="B7" t="s">
        <v>13</v>
      </c>
    </row>
    <row r="8" spans="1:3" x14ac:dyDescent="0.3">
      <c r="B8" t="s">
        <v>48</v>
      </c>
    </row>
    <row r="9" spans="1:3" x14ac:dyDescent="0.3">
      <c r="B9" t="s">
        <v>73</v>
      </c>
    </row>
    <row r="10" spans="1:3" x14ac:dyDescent="0.3">
      <c r="B10" t="s">
        <v>74</v>
      </c>
    </row>
    <row r="11" spans="1:3" x14ac:dyDescent="0.3">
      <c r="B11" t="s">
        <v>53</v>
      </c>
    </row>
    <row r="12" spans="1:3" x14ac:dyDescent="0.3">
      <c r="B12" t="s">
        <v>63</v>
      </c>
    </row>
    <row r="13" spans="1:3" x14ac:dyDescent="0.3">
      <c r="B13" t="s">
        <v>105</v>
      </c>
    </row>
    <row r="14" spans="1:3" x14ac:dyDescent="0.3">
      <c r="B14" t="s">
        <v>39</v>
      </c>
    </row>
    <row r="15" spans="1:3" x14ac:dyDescent="0.3">
      <c r="B15" t="s">
        <v>30</v>
      </c>
    </row>
    <row r="16" spans="1:3" x14ac:dyDescent="0.3">
      <c r="B16" t="s">
        <v>75</v>
      </c>
    </row>
    <row r="17" spans="2:2" x14ac:dyDescent="0.3">
      <c r="B17" t="s">
        <v>40</v>
      </c>
    </row>
    <row r="18" spans="2:2" x14ac:dyDescent="0.3">
      <c r="B18" t="s">
        <v>64</v>
      </c>
    </row>
    <row r="19" spans="2:2" x14ac:dyDescent="0.3">
      <c r="B19" t="s">
        <v>42</v>
      </c>
    </row>
    <row r="20" spans="2:2" x14ac:dyDescent="0.3">
      <c r="B20" t="s">
        <v>12</v>
      </c>
    </row>
    <row r="21" spans="2:2" x14ac:dyDescent="0.3">
      <c r="B21" t="s">
        <v>31</v>
      </c>
    </row>
    <row r="22" spans="2:2" x14ac:dyDescent="0.3">
      <c r="B22" t="s">
        <v>76</v>
      </c>
    </row>
    <row r="23" spans="2:2" x14ac:dyDescent="0.3">
      <c r="B23" t="s">
        <v>65</v>
      </c>
    </row>
    <row r="24" spans="2:2" x14ac:dyDescent="0.3">
      <c r="B24" t="s">
        <v>122</v>
      </c>
    </row>
    <row r="25" spans="2:2" x14ac:dyDescent="0.3">
      <c r="B25" t="s">
        <v>10</v>
      </c>
    </row>
    <row r="26" spans="2:2" x14ac:dyDescent="0.3">
      <c r="B26" t="s">
        <v>66</v>
      </c>
    </row>
    <row r="27" spans="2:2" x14ac:dyDescent="0.3">
      <c r="B27" t="s">
        <v>43</v>
      </c>
    </row>
    <row r="28" spans="2:2" x14ac:dyDescent="0.3">
      <c r="B28" t="s">
        <v>49</v>
      </c>
    </row>
    <row r="29" spans="2:2" x14ac:dyDescent="0.3">
      <c r="B29" t="s">
        <v>77</v>
      </c>
    </row>
    <row r="30" spans="2:2" x14ac:dyDescent="0.3">
      <c r="B30" t="s">
        <v>107</v>
      </c>
    </row>
    <row r="31" spans="2:2" x14ac:dyDescent="0.3">
      <c r="B31" t="s">
        <v>78</v>
      </c>
    </row>
    <row r="32" spans="2:2" x14ac:dyDescent="0.3">
      <c r="B32" t="s">
        <v>32</v>
      </c>
    </row>
    <row r="33" spans="2:2" x14ac:dyDescent="0.3">
      <c r="B33" t="s">
        <v>67</v>
      </c>
    </row>
    <row r="34" spans="2:2" x14ac:dyDescent="0.3">
      <c r="B34" t="s">
        <v>33</v>
      </c>
    </row>
    <row r="35" spans="2:2" x14ac:dyDescent="0.3">
      <c r="B35" t="s">
        <v>81</v>
      </c>
    </row>
    <row r="36" spans="2:2" x14ac:dyDescent="0.3">
      <c r="B36" t="s">
        <v>9</v>
      </c>
    </row>
    <row r="37" spans="2:2" x14ac:dyDescent="0.3">
      <c r="B37" t="s">
        <v>83</v>
      </c>
    </row>
    <row r="38" spans="2:2" x14ac:dyDescent="0.3">
      <c r="B38" t="s">
        <v>68</v>
      </c>
    </row>
    <row r="39" spans="2:2" x14ac:dyDescent="0.3">
      <c r="B39" t="s">
        <v>11</v>
      </c>
    </row>
    <row r="40" spans="2:2" x14ac:dyDescent="0.3">
      <c r="B40" t="s">
        <v>69</v>
      </c>
    </row>
    <row r="41" spans="2:2" x14ac:dyDescent="0.3">
      <c r="B41" t="s">
        <v>86</v>
      </c>
    </row>
    <row r="42" spans="2:2" x14ac:dyDescent="0.3">
      <c r="B42" t="s">
        <v>1084</v>
      </c>
    </row>
    <row r="43" spans="2:2" x14ac:dyDescent="0.3">
      <c r="B43" t="s">
        <v>109</v>
      </c>
    </row>
    <row r="44" spans="2:2" x14ac:dyDescent="0.3">
      <c r="B44" t="s">
        <v>87</v>
      </c>
    </row>
    <row r="45" spans="2:2" x14ac:dyDescent="0.3">
      <c r="B45" t="s">
        <v>35</v>
      </c>
    </row>
    <row r="46" spans="2:2" x14ac:dyDescent="0.3">
      <c r="B46" t="s">
        <v>110</v>
      </c>
    </row>
    <row r="47" spans="2:2" x14ac:dyDescent="0.3">
      <c r="B47" t="s">
        <v>89</v>
      </c>
    </row>
    <row r="48" spans="2:2" x14ac:dyDescent="0.3">
      <c r="B48" t="s">
        <v>36</v>
      </c>
    </row>
    <row r="49" spans="2:2" x14ac:dyDescent="0.3">
      <c r="B49" t="s">
        <v>90</v>
      </c>
    </row>
    <row r="50" spans="2:2" x14ac:dyDescent="0.3">
      <c r="B50" t="s">
        <v>37</v>
      </c>
    </row>
    <row r="51" spans="2:2" x14ac:dyDescent="0.3">
      <c r="B51" t="s">
        <v>92</v>
      </c>
    </row>
    <row r="52" spans="2:2" x14ac:dyDescent="0.3">
      <c r="B52" t="s">
        <v>70</v>
      </c>
    </row>
    <row r="53" spans="2:2" x14ac:dyDescent="0.3">
      <c r="B53" t="s">
        <v>1085</v>
      </c>
    </row>
    <row r="54" spans="2:2" x14ac:dyDescent="0.3">
      <c r="B54" t="s">
        <v>44</v>
      </c>
    </row>
    <row r="55" spans="2:2" x14ac:dyDescent="0.3">
      <c r="B55" t="s">
        <v>94</v>
      </c>
    </row>
    <row r="56" spans="2:2" x14ac:dyDescent="0.3">
      <c r="B56" t="s">
        <v>96</v>
      </c>
    </row>
    <row r="57" spans="2:2" x14ac:dyDescent="0.3">
      <c r="B57" t="s">
        <v>71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거래처별요약</vt:lpstr>
      <vt:lpstr>1월</vt:lpstr>
      <vt:lpstr>2월</vt:lpstr>
      <vt:lpstr>3월</vt:lpstr>
      <vt:lpstr>4월</vt:lpstr>
      <vt:lpstr>Raw_Data</vt:lpstr>
      <vt:lpstr>검색</vt:lpstr>
      <vt:lpstr>__Lists__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com2usholdings14</cp:lastModifiedBy>
  <dcterms:created xsi:type="dcterms:W3CDTF">2026-07-23T07:20:25Z</dcterms:created>
  <dcterms:modified xsi:type="dcterms:W3CDTF">2026-07-23T08:53:47Z</dcterms:modified>
</cp:coreProperties>
</file>